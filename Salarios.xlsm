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M17" i="2" s="1"/>
  <c r="K100" i="3"/>
  <c r="K101" i="3"/>
  <c r="K102" i="3"/>
  <c r="K103" i="3"/>
  <c r="K104" i="3"/>
  <c r="H8" i="2"/>
  <c r="P8" i="2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C17" i="2" s="1"/>
  <c r="E17" i="2" s="1"/>
  <c r="J100" i="3"/>
  <c r="J101" i="3"/>
  <c r="J102" i="3"/>
  <c r="J103" i="3"/>
  <c r="J104" i="3"/>
  <c r="P17" i="2" l="1"/>
  <c r="L17" i="2"/>
  <c r="N17" i="2" s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D17" i="2" s="1"/>
  <c r="C100" i="3"/>
  <c r="C101" i="3"/>
  <c r="C102" i="3"/>
  <c r="C103" i="3"/>
  <c r="C104" i="3"/>
  <c r="F17" i="2" l="1"/>
  <c r="G17" i="2" s="1"/>
  <c r="K17" i="2" s="1"/>
  <c r="Q17" i="2" s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K11" i="2" s="1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F11" i="2" s="1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E8" i="2" l="1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<sst xmlns="http://schemas.openxmlformats.org/spreadsheetml/2006/main" count="477" uniqueCount="188">
  <si>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</si>
  <si>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</si>
  <si>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</si>
  <si>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</si>
  <si>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</si>
  <si>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</si>
  <si>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</si>
  <si>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</si>
  <si>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</si>
  <si>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</si>
  <si>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</si>
  <si>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</si>
  <si>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</si>
  <si>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</si>
  <si>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</si>
  <si>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</si>
  <si>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</si>
  <si>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</si>
  <si>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</si>
  <si>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</si>
  <si>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</si>
  <si>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</si>
  <si>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</si>
  <si>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</si>
  <si>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</si>
  <si>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</si>
  <si>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</si>
  <si>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</si>
  <si>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</si>
  <si>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</si>
  <si>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</si>
  <si>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</si>
  <si>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</si>
  <si>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</si>
  <si>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</si>
  <si>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</si>
  <si>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</si>
  <si>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</si>
  <si>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</si>
  <si>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</si>
  <si>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</si>
  <si>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</si>
  <si>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</si>
  <si>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</si>
  <si>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</si>
  <si>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</si>
  <si>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</si>
  <si>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</si>
  <si>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</si>
  <si>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</si>
  <si>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</si>
  <si>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</si>
  <si>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</si>
  <si>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</si>
  <si>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</si>
  <si>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</si>
  <si>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</si>
  <si>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</si>
  <si>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</si>
  <si>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</si>
  <si>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</si>
  <si>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</si>
  <si>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</si>
  <si>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</si>
  <si>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</si>
  <si>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</si>
  <si>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</si>
  <si>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</si>
  <si>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</si>
  <si>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</si>
  <si>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</si>
  <si>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</si>
  <si>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</si>
  <si>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</si>
  <si>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</si>
  <si>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</si>
  <si>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</si>
  <si>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</si>
  <si>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</si>
  <si>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</si>
  <si>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</si>
  <si>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</si>
  <si>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</si>
  <si>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</si>
  <si>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</si>
  <si>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</si>
  <si>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</si>
  <si>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</si>
  <si>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</si>
  <si>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</si>
  <si>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</si>
  <si>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</si>
  <si>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</si>
  <si>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</si>
  <si>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</si>
  <si>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</si>
  <si>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</si>
  <si>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</si>
  <si>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</si>
  <si>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</si>
  <si>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</si>
  <si>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</si>
  <si>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</si>
  <si>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</si>
  <si>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</si>
  <si>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</si>
  <si>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</si>
  <si>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</si>
  <si>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</si>
  <si>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</si>
  <si>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</si>
  <si>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</si>
  <si>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</si>
  <si>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</si>
  <si>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</si>
  <si>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</si>
  <si>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</si>
  <si>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</si>
  <si>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</si>
  <si>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</si>
  <si>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</si>
  <si>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</si>
  <si>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</si>
  <si>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</si>
  <si>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</si>
  <si>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</si>
  <si>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</si>
  <si>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</si>
  <si>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</si>
  <si>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</si>
  <si>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</si>
  <si>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</si>
  <si>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</si>
  <si>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</si>
  <si>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</si>
  <si>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</si>
  <si>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</si>
  <si>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</si>
  <si>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</si>
  <si>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</si>
  <si>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</si>
  <si>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</si>
  <si>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</si>
  <si>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</si>
  <si>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</si>
  <si>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</si>
  <si>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</si>
  <si>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</si>
  <si>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</si>
  <si>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</si>
  <si>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</si>
  <si>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</si>
  <si>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</si>
  <si>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</si>
  <si>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</si>
  <si>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</si>
  <si>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</si>
  <si>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</si>
  <si>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</si>
  <si>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</si>
  <si>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</si>
  <si>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</si>
  <si>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</si>
  <si>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</si>
  <si>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</si>
  <si>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</si>
  <si>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</si>
  <si>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</si>
  <si>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</si>
  <si>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</si>
  <si>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</si>
  <si>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</si>
  <si>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</si>
  <si>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</si>
  <si>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</si>
  <si>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</si>
  <si>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</si>
  <si>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</si>
  <si>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</si>
  <si>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</si>
  <si>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</si>
  <si>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</si>
  <si>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</si>
  <si>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</si>
  <si>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Allan Alexander Ramirez</t>
  </si>
  <si>
    <t>5.to Baco</t>
  </si>
  <si>
    <t>Abril</t>
  </si>
  <si>
    <t>SUELDO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</si>
</sst>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Q&quot;* #,##0.00_);_(&quot;Q&quot;* \(#,##0.00\);_(&quot;Q&quot;* &quot;-&quot;??_);_(@_)"/>
    <numFmt numFmtId="164" formatCode="[$-409]d\-mmm\-yyyy;@"/>
  </numFmts>
  <fonts count="2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mbria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44" fontId="24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44" fontId="0" fillId="0" borderId="0" xfId="3" applyFont="1" applyFill="1" applyBorder="1"/>
    <xf numFmtId="44" fontId="25" fillId="0" borderId="0" xfId="3" applyFont="1" applyFill="1" applyBorder="1" applyAlignment="1">
      <alignment horizontal="center" vertical="center"/>
    </xf>
    <xf numFmtId="44" fontId="0" fillId="0" borderId="0" xfId="3" applyFont="1" applyFill="1" applyBorder="1" applyAlignment="1">
      <alignment horizontal="center"/>
    </xf>
    <xf numFmtId="44" fontId="7" fillId="0" borderId="0" xfId="3" applyFont="1" applyBorder="1"/>
    <xf numFmtId="14" fontId="7" fillId="0" borderId="1" xfId="0" applyNumberFormat="1" applyFont="1" applyBorder="1" applyAlignment="1">
      <alignment horizontal="center"/>
    </xf>
    <xf numFmtId="44" fontId="7" fillId="0" borderId="0" xfId="0" applyNumberFormat="1" applyFont="1" applyBorder="1"/>
    <xf numFmtId="44" fontId="0" fillId="0" borderId="0" xfId="0" applyNumberFormat="1"/>
  </cellXfs>
  <cellStyles count="4">
    <cellStyle name="Moneda" xfId="3" builtinId="4"/>
    <cellStyle name="Normal" xfId="0" builtinId="0"/>
    <cellStyle name="Normal 2" xfId="1"/>
    <cellStyle name="Normal 3" xfId="2"/>
  </cellStyles>
  <dxfs count="13"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K104" totalsRowShown="0" headerRowDxfId="12" dataDxfId="11">
  <autoFilter ref="A4:K104"/>
  <sortState ref="A5:I104">
    <sortCondition ref="B4:B104"/>
  </sortState>
  <tableColumns count="11">
    <tableColumn id="1" name="Código Empleado" dataDxfId="10"/>
    <tableColumn id="2" name="Nombre Empleado" dataDxfId="9"/>
    <tableColumn id="9" name="Días Laborados" dataDxfId="8">
      <calculatedColumnFormula>RANDBETWEEN(25,30)</calculatedColumnFormula>
    </tableColumn>
    <tableColumn id="3" name="Sexo" dataDxfId="7"/>
    <tableColumn id="4" name="Edad" dataDxfId="6">
      <calculatedColumnFormula>RANDBETWEEN(18,41)</calculatedColumnFormula>
    </tableColumn>
    <tableColumn id="5" name="Ocupación o Puesto" dataDxfId="5"/>
    <tableColumn id="6" name="DPI" dataDxfId="4">
      <calculatedColumnFormula>RANDBETWEEN(2000000000101,9000000009999)</calculatedColumnFormula>
    </tableColumn>
    <tableColumn id="7" name="Fecha de Ingreso" dataDxfId="3">
      <calculatedColumnFormula>RANDBETWEEN(DATE(2001,1,1),DATE(2018,7,15))</calculatedColumnFormula>
    </tableColumn>
    <tableColumn id="8" name="Fecha Finalización Laboral" dataDxfId="2"/>
    <tableColumn id="10" name="SUELDO" dataDxfId="1" dataCellStyle="Moneda">
      <calculatedColumnFormula>RANDBETWEEN(2750,5000)</calculatedColumnFormula>
    </tableColumn>
    <tableColumn id="11" name="deducciones" dataDxfId="0">
      <calculatedColumnFormula>RANDBETWEEN(200,400)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abSelected="1" topLeftCell="A3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6" t="s">
        <v>174</v>
      </c>
      <c r="C4" s="57"/>
      <c r="D4" s="57"/>
      <c r="E4" s="57"/>
      <c r="F4" s="58"/>
    </row>
    <row r="5" spans="2:11">
      <c r="B5" s="59"/>
      <c r="C5" s="60"/>
      <c r="D5" s="60"/>
      <c r="E5" s="60"/>
      <c r="F5" s="61"/>
      <c r="I5" s="54">
        <v>1</v>
      </c>
      <c r="J5" s="54" t="s">
        <v>180</v>
      </c>
      <c r="K5" s="54" t="s">
        <v>182</v>
      </c>
    </row>
    <row r="6" spans="2:11" ht="15.75" thickBot="1">
      <c r="B6" s="62"/>
      <c r="C6" s="63"/>
      <c r="D6" s="63"/>
      <c r="E6" s="63"/>
      <c r="F6" s="64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55"/>
      <c r="E8" s="55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55" t="s">
        <v>184</v>
      </c>
      <c r="E10" s="55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55" t="s">
        <v>185</v>
      </c>
      <c r="E12" s="55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55" t="s">
        <v>180</v>
      </c>
      <c r="E14" s="55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55" t="s">
        <v>182</v>
      </c>
      <c r="E16" s="55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4"/>
  <sheetViews>
    <sheetView showGridLines="0" topLeftCell="B4" zoomScale="85" zoomScaleNormal="85" workbookViewId="0">
      <selection activeCell="K6" sqref="K6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0" width="17.28515625" style="88" bestFit="1" customWidth="1"/>
    <col min="11" max="11" width="21.28515625" style="34" customWidth="1"/>
    <col min="12" max="16384" width="11.5703125" style="34"/>
  </cols>
  <sheetData>
    <row r="1" spans="1:11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11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11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  <c r="J4" s="89" t="s">
        <v>187</v>
      </c>
      <c r="K4" s="38" t="s">
        <v>42</v>
      </c>
    </row>
    <row r="5" spans="1:11">
      <c r="A5" s="44">
        <v>1</v>
      </c>
      <c r="B5" s="40" t="s">
        <v>52</v>
      </c>
      <c r="C5" s="41">
        <f t="shared" ref="C5:C36" ca="1" si="0">RANDBETWEEN(25,30)</f>
        <v>27</v>
      </c>
      <c r="D5" s="36" t="s">
        <v>152</v>
      </c>
      <c r="E5" s="36">
        <f t="shared" ref="E5:E36" ca="1" si="1">RANDBETWEEN(18,41)</f>
        <v>27</v>
      </c>
      <c r="F5" s="36" t="s">
        <v>155</v>
      </c>
      <c r="G5" s="42">
        <f t="shared" ref="G5:G36" ca="1" si="2">RANDBETWEEN(2000000000101,9000000009999)</f>
        <v>2731693161202</v>
      </c>
      <c r="H5" s="43">
        <f t="shared" ref="H5:H36" ca="1" si="3">RANDBETWEEN(DATE(2001,1,1),DATE(2018,7,15))</f>
        <v>37976</v>
      </c>
      <c r="I5" s="36" t="s">
        <v>170</v>
      </c>
      <c r="J5" s="90">
        <f t="shared" ref="J5:J36" ca="1" si="4">RANDBETWEEN(2750,5000)</f>
        <v>4148</v>
      </c>
      <c r="K5" s="36">
        <f t="shared" ref="K5:K36" ca="1" si="5">RANDBETWEEN(200,400)</f>
        <v>205</v>
      </c>
    </row>
    <row r="6" spans="1:11">
      <c r="A6" s="44">
        <v>2</v>
      </c>
      <c r="B6" s="40" t="s">
        <v>53</v>
      </c>
      <c r="C6" s="41">
        <f t="shared" ca="1" si="0"/>
        <v>30</v>
      </c>
      <c r="D6" s="36" t="s">
        <v>152</v>
      </c>
      <c r="E6" s="36">
        <f t="shared" ca="1" si="1"/>
        <v>38</v>
      </c>
      <c r="F6" s="36" t="s">
        <v>156</v>
      </c>
      <c r="G6" s="42">
        <f t="shared" ca="1" si="2"/>
        <v>7479634219900</v>
      </c>
      <c r="H6" s="43">
        <f t="shared" ca="1" si="3"/>
        <v>39532</v>
      </c>
      <c r="I6" s="36" t="s">
        <v>170</v>
      </c>
      <c r="J6" s="90">
        <f t="shared" ca="1" si="4"/>
        <v>2822</v>
      </c>
      <c r="K6" s="36">
        <f t="shared" ca="1" si="5"/>
        <v>367</v>
      </c>
    </row>
    <row r="7" spans="1:11">
      <c r="A7" s="44">
        <v>3</v>
      </c>
      <c r="B7" s="40" t="s">
        <v>54</v>
      </c>
      <c r="C7" s="41">
        <f t="shared" ca="1" si="0"/>
        <v>26</v>
      </c>
      <c r="D7" s="36" t="s">
        <v>152</v>
      </c>
      <c r="E7" s="36">
        <f t="shared" ca="1" si="1"/>
        <v>36</v>
      </c>
      <c r="F7" s="36" t="s">
        <v>158</v>
      </c>
      <c r="G7" s="42">
        <f t="shared" ca="1" si="2"/>
        <v>4023332274576</v>
      </c>
      <c r="H7" s="43">
        <f t="shared" ca="1" si="3"/>
        <v>37999</v>
      </c>
      <c r="I7" s="36" t="s">
        <v>170</v>
      </c>
      <c r="J7" s="90">
        <f t="shared" ca="1" si="4"/>
        <v>4594</v>
      </c>
      <c r="K7" s="36">
        <f t="shared" ca="1" si="5"/>
        <v>215</v>
      </c>
    </row>
    <row r="8" spans="1:11">
      <c r="A8" s="44">
        <v>4</v>
      </c>
      <c r="B8" s="40" t="s">
        <v>55</v>
      </c>
      <c r="C8" s="41">
        <f t="shared" ca="1" si="0"/>
        <v>27</v>
      </c>
      <c r="D8" s="36" t="s">
        <v>152</v>
      </c>
      <c r="E8" s="36">
        <f t="shared" ca="1" si="1"/>
        <v>41</v>
      </c>
      <c r="F8" s="36" t="s">
        <v>160</v>
      </c>
      <c r="G8" s="42">
        <f t="shared" ca="1" si="2"/>
        <v>7355576879613</v>
      </c>
      <c r="H8" s="43">
        <f t="shared" ca="1" si="3"/>
        <v>41787</v>
      </c>
      <c r="I8" s="36" t="s">
        <v>170</v>
      </c>
      <c r="J8" s="90">
        <f t="shared" ca="1" si="4"/>
        <v>3313</v>
      </c>
      <c r="K8" s="36">
        <f t="shared" ca="1" si="5"/>
        <v>251</v>
      </c>
    </row>
    <row r="9" spans="1:11">
      <c r="A9" s="44">
        <v>10</v>
      </c>
      <c r="B9" s="40" t="s">
        <v>61</v>
      </c>
      <c r="C9" s="41">
        <f t="shared" ca="1" si="0"/>
        <v>30</v>
      </c>
      <c r="D9" s="36" t="s">
        <v>152</v>
      </c>
      <c r="E9" s="36">
        <f t="shared" ca="1" si="1"/>
        <v>21</v>
      </c>
      <c r="F9" s="36" t="s">
        <v>167</v>
      </c>
      <c r="G9" s="42">
        <f t="shared" ca="1" si="2"/>
        <v>2675821565432</v>
      </c>
      <c r="H9" s="43">
        <f t="shared" ca="1" si="3"/>
        <v>43173</v>
      </c>
      <c r="I9" s="36" t="s">
        <v>170</v>
      </c>
      <c r="J9" s="90">
        <f t="shared" ca="1" si="4"/>
        <v>3954</v>
      </c>
      <c r="K9" s="36">
        <f t="shared" ca="1" si="5"/>
        <v>377</v>
      </c>
    </row>
    <row r="10" spans="1:11">
      <c r="A10" s="44">
        <v>5</v>
      </c>
      <c r="B10" s="40" t="s">
        <v>56</v>
      </c>
      <c r="C10" s="41">
        <f t="shared" ca="1" si="0"/>
        <v>30</v>
      </c>
      <c r="D10" s="36" t="s">
        <v>152</v>
      </c>
      <c r="E10" s="36">
        <f t="shared" ca="1" si="1"/>
        <v>30</v>
      </c>
      <c r="F10" s="36" t="s">
        <v>162</v>
      </c>
      <c r="G10" s="42">
        <f t="shared" ca="1" si="2"/>
        <v>5726496116315</v>
      </c>
      <c r="H10" s="43">
        <f t="shared" ca="1" si="3"/>
        <v>37800</v>
      </c>
      <c r="I10" s="36" t="s">
        <v>170</v>
      </c>
      <c r="J10" s="90">
        <f t="shared" ca="1" si="4"/>
        <v>4138</v>
      </c>
      <c r="K10" s="36">
        <f t="shared" ca="1" si="5"/>
        <v>335</v>
      </c>
    </row>
    <row r="11" spans="1:11">
      <c r="A11" s="44">
        <v>6</v>
      </c>
      <c r="B11" s="40" t="s">
        <v>57</v>
      </c>
      <c r="C11" s="41">
        <f t="shared" ca="1" si="0"/>
        <v>30</v>
      </c>
      <c r="D11" s="36" t="s">
        <v>152</v>
      </c>
      <c r="E11" s="36">
        <f t="shared" ca="1" si="1"/>
        <v>40</v>
      </c>
      <c r="F11" s="36" t="s">
        <v>154</v>
      </c>
      <c r="G11" s="42">
        <f t="shared" ca="1" si="2"/>
        <v>2781757486198</v>
      </c>
      <c r="H11" s="43">
        <f t="shared" ca="1" si="3"/>
        <v>39986</v>
      </c>
      <c r="I11" s="36" t="s">
        <v>170</v>
      </c>
      <c r="J11" s="90">
        <f t="shared" ca="1" si="4"/>
        <v>3774</v>
      </c>
      <c r="K11" s="36">
        <f t="shared" ca="1" si="5"/>
        <v>281</v>
      </c>
    </row>
    <row r="12" spans="1:11">
      <c r="A12" s="44">
        <v>7</v>
      </c>
      <c r="B12" s="40" t="s">
        <v>58</v>
      </c>
      <c r="C12" s="41">
        <f t="shared" ca="1" si="0"/>
        <v>29</v>
      </c>
      <c r="D12" s="36" t="s">
        <v>152</v>
      </c>
      <c r="E12" s="36">
        <f t="shared" ca="1" si="1"/>
        <v>21</v>
      </c>
      <c r="F12" s="36" t="s">
        <v>163</v>
      </c>
      <c r="G12" s="42">
        <f t="shared" ca="1" si="2"/>
        <v>2728033141931</v>
      </c>
      <c r="H12" s="43">
        <f t="shared" ca="1" si="3"/>
        <v>37637</v>
      </c>
      <c r="I12" s="36" t="s">
        <v>170</v>
      </c>
      <c r="J12" s="90">
        <f t="shared" ca="1" si="4"/>
        <v>3746</v>
      </c>
      <c r="K12" s="36">
        <f t="shared" ca="1" si="5"/>
        <v>213</v>
      </c>
    </row>
    <row r="13" spans="1:11">
      <c r="A13" s="44">
        <v>8</v>
      </c>
      <c r="B13" s="40" t="s">
        <v>59</v>
      </c>
      <c r="C13" s="41">
        <f t="shared" ca="1" si="0"/>
        <v>30</v>
      </c>
      <c r="D13" s="36" t="s">
        <v>153</v>
      </c>
      <c r="E13" s="36">
        <f t="shared" ca="1" si="1"/>
        <v>18</v>
      </c>
      <c r="F13" s="36" t="s">
        <v>156</v>
      </c>
      <c r="G13" s="42">
        <f t="shared" ca="1" si="2"/>
        <v>6689740562634</v>
      </c>
      <c r="H13" s="43">
        <f t="shared" ca="1" si="3"/>
        <v>40263</v>
      </c>
      <c r="I13" s="36" t="s">
        <v>170</v>
      </c>
      <c r="J13" s="90">
        <f t="shared" ca="1" si="4"/>
        <v>4576</v>
      </c>
      <c r="K13" s="36">
        <f t="shared" ca="1" si="5"/>
        <v>222</v>
      </c>
    </row>
    <row r="14" spans="1:11">
      <c r="A14" s="44">
        <v>9</v>
      </c>
      <c r="B14" s="40" t="s">
        <v>60</v>
      </c>
      <c r="C14" s="41">
        <f t="shared" ca="1" si="0"/>
        <v>28</v>
      </c>
      <c r="D14" s="36" t="s">
        <v>152</v>
      </c>
      <c r="E14" s="36">
        <f t="shared" ca="1" si="1"/>
        <v>20</v>
      </c>
      <c r="F14" s="36" t="s">
        <v>167</v>
      </c>
      <c r="G14" s="42">
        <f t="shared" ca="1" si="2"/>
        <v>6020308345946</v>
      </c>
      <c r="H14" s="43">
        <f t="shared" ca="1" si="3"/>
        <v>38813</v>
      </c>
      <c r="I14" s="36" t="s">
        <v>170</v>
      </c>
      <c r="J14" s="90">
        <f t="shared" ca="1" si="4"/>
        <v>2956</v>
      </c>
      <c r="K14" s="36">
        <f t="shared" ca="1" si="5"/>
        <v>349</v>
      </c>
    </row>
    <row r="15" spans="1:11">
      <c r="A15" s="44">
        <v>11</v>
      </c>
      <c r="B15" s="40" t="s">
        <v>62</v>
      </c>
      <c r="C15" s="41">
        <f t="shared" ca="1" si="0"/>
        <v>29</v>
      </c>
      <c r="D15" s="36" t="s">
        <v>152</v>
      </c>
      <c r="E15" s="36">
        <f t="shared" ca="1" si="1"/>
        <v>35</v>
      </c>
      <c r="F15" s="36" t="s">
        <v>167</v>
      </c>
      <c r="G15" s="42">
        <f t="shared" ca="1" si="2"/>
        <v>7139467193771</v>
      </c>
      <c r="H15" s="43">
        <f t="shared" ca="1" si="3"/>
        <v>41439</v>
      </c>
      <c r="I15" s="36" t="s">
        <v>170</v>
      </c>
      <c r="J15" s="90">
        <f t="shared" ca="1" si="4"/>
        <v>4457</v>
      </c>
      <c r="K15" s="36">
        <f t="shared" ca="1" si="5"/>
        <v>396</v>
      </c>
    </row>
    <row r="16" spans="1:11">
      <c r="A16" s="44">
        <v>12</v>
      </c>
      <c r="B16" s="40" t="s">
        <v>63</v>
      </c>
      <c r="C16" s="41">
        <f t="shared" ca="1" si="0"/>
        <v>30</v>
      </c>
      <c r="D16" s="36" t="s">
        <v>153</v>
      </c>
      <c r="E16" s="36">
        <f t="shared" ca="1" si="1"/>
        <v>32</v>
      </c>
      <c r="F16" s="36" t="s">
        <v>154</v>
      </c>
      <c r="G16" s="42">
        <f t="shared" ca="1" si="2"/>
        <v>7630039490456</v>
      </c>
      <c r="H16" s="43">
        <f t="shared" ca="1" si="3"/>
        <v>42026</v>
      </c>
      <c r="I16" s="36" t="s">
        <v>170</v>
      </c>
      <c r="J16" s="90">
        <f t="shared" ca="1" si="4"/>
        <v>4650</v>
      </c>
      <c r="K16" s="36">
        <f t="shared" ca="1" si="5"/>
        <v>296</v>
      </c>
    </row>
    <row r="17" spans="1:11">
      <c r="A17" s="44">
        <v>13</v>
      </c>
      <c r="B17" s="40" t="s">
        <v>64</v>
      </c>
      <c r="C17" s="41">
        <f t="shared" ca="1" si="0"/>
        <v>25</v>
      </c>
      <c r="D17" s="36" t="s">
        <v>153</v>
      </c>
      <c r="E17" s="36">
        <f t="shared" ca="1" si="1"/>
        <v>20</v>
      </c>
      <c r="F17" s="36" t="s">
        <v>159</v>
      </c>
      <c r="G17" s="42">
        <f t="shared" ca="1" si="2"/>
        <v>2379365207455</v>
      </c>
      <c r="H17" s="43">
        <f t="shared" ca="1" si="3"/>
        <v>42505</v>
      </c>
      <c r="I17" s="36" t="s">
        <v>170</v>
      </c>
      <c r="J17" s="90">
        <f t="shared" ca="1" si="4"/>
        <v>2802</v>
      </c>
      <c r="K17" s="36">
        <f t="shared" ca="1" si="5"/>
        <v>355</v>
      </c>
    </row>
    <row r="18" spans="1:11">
      <c r="A18" s="44">
        <v>14</v>
      </c>
      <c r="B18" s="40" t="s">
        <v>65</v>
      </c>
      <c r="C18" s="41">
        <f t="shared" ca="1" si="0"/>
        <v>29</v>
      </c>
      <c r="D18" s="36" t="s">
        <v>153</v>
      </c>
      <c r="E18" s="36">
        <f t="shared" ca="1" si="1"/>
        <v>21</v>
      </c>
      <c r="F18" s="36" t="s">
        <v>156</v>
      </c>
      <c r="G18" s="42">
        <f t="shared" ca="1" si="2"/>
        <v>8128089290242</v>
      </c>
      <c r="H18" s="43">
        <f t="shared" ca="1" si="3"/>
        <v>37705</v>
      </c>
      <c r="I18" s="36" t="s">
        <v>170</v>
      </c>
      <c r="J18" s="90">
        <f t="shared" ca="1" si="4"/>
        <v>2907</v>
      </c>
      <c r="K18" s="36">
        <f t="shared" ca="1" si="5"/>
        <v>387</v>
      </c>
    </row>
    <row r="19" spans="1:11">
      <c r="A19" s="44">
        <v>15</v>
      </c>
      <c r="B19" s="40" t="s">
        <v>66</v>
      </c>
      <c r="C19" s="41">
        <f t="shared" ca="1" si="0"/>
        <v>25</v>
      </c>
      <c r="D19" s="36" t="s">
        <v>152</v>
      </c>
      <c r="E19" s="36">
        <f t="shared" ca="1" si="1"/>
        <v>37</v>
      </c>
      <c r="F19" s="36" t="s">
        <v>156</v>
      </c>
      <c r="G19" s="42">
        <f t="shared" ca="1" si="2"/>
        <v>8274860434706</v>
      </c>
      <c r="H19" s="43">
        <f t="shared" ca="1" si="3"/>
        <v>39119</v>
      </c>
      <c r="I19" s="36" t="s">
        <v>170</v>
      </c>
      <c r="J19" s="90">
        <f t="shared" ca="1" si="4"/>
        <v>4821</v>
      </c>
      <c r="K19" s="36">
        <f t="shared" ca="1" si="5"/>
        <v>275</v>
      </c>
    </row>
    <row r="20" spans="1:11">
      <c r="A20" s="44">
        <v>16</v>
      </c>
      <c r="B20" s="40" t="s">
        <v>67</v>
      </c>
      <c r="C20" s="41">
        <f t="shared" ca="1" si="0"/>
        <v>30</v>
      </c>
      <c r="D20" s="36" t="s">
        <v>152</v>
      </c>
      <c r="E20" s="36">
        <f t="shared" ca="1" si="1"/>
        <v>21</v>
      </c>
      <c r="F20" s="36" t="s">
        <v>156</v>
      </c>
      <c r="G20" s="42">
        <f t="shared" ca="1" si="2"/>
        <v>8693819413414</v>
      </c>
      <c r="H20" s="43">
        <f t="shared" ca="1" si="3"/>
        <v>40253</v>
      </c>
      <c r="I20" s="36" t="s">
        <v>170</v>
      </c>
      <c r="J20" s="90">
        <f t="shared" ca="1" si="4"/>
        <v>4547</v>
      </c>
      <c r="K20" s="36">
        <f t="shared" ca="1" si="5"/>
        <v>351</v>
      </c>
    </row>
    <row r="21" spans="1:11">
      <c r="A21" s="44">
        <v>17</v>
      </c>
      <c r="B21" s="40" t="s">
        <v>68</v>
      </c>
      <c r="C21" s="41">
        <f t="shared" ca="1" si="0"/>
        <v>27</v>
      </c>
      <c r="D21" s="36" t="s">
        <v>152</v>
      </c>
      <c r="E21" s="36">
        <f t="shared" ca="1" si="1"/>
        <v>21</v>
      </c>
      <c r="F21" s="36" t="s">
        <v>158</v>
      </c>
      <c r="G21" s="42">
        <f t="shared" ca="1" si="2"/>
        <v>2314981254162</v>
      </c>
      <c r="H21" s="43">
        <f t="shared" ca="1" si="3"/>
        <v>38071</v>
      </c>
      <c r="I21" s="36" t="s">
        <v>170</v>
      </c>
      <c r="J21" s="90">
        <f t="shared" ca="1" si="4"/>
        <v>4107</v>
      </c>
      <c r="K21" s="36">
        <f t="shared" ca="1" si="5"/>
        <v>315</v>
      </c>
    </row>
    <row r="22" spans="1:11">
      <c r="A22" s="44">
        <v>18</v>
      </c>
      <c r="B22" s="40" t="s">
        <v>69</v>
      </c>
      <c r="C22" s="41">
        <f t="shared" ca="1" si="0"/>
        <v>29</v>
      </c>
      <c r="D22" s="36" t="s">
        <v>153</v>
      </c>
      <c r="E22" s="36">
        <f t="shared" ca="1" si="1"/>
        <v>25</v>
      </c>
      <c r="F22" s="36" t="s">
        <v>159</v>
      </c>
      <c r="G22" s="42">
        <f t="shared" ca="1" si="2"/>
        <v>4394475414238</v>
      </c>
      <c r="H22" s="43">
        <f t="shared" ca="1" si="3"/>
        <v>36920</v>
      </c>
      <c r="I22" s="36" t="s">
        <v>170</v>
      </c>
      <c r="J22" s="90">
        <f t="shared" ca="1" si="4"/>
        <v>4077</v>
      </c>
      <c r="K22" s="36">
        <f t="shared" ca="1" si="5"/>
        <v>205</v>
      </c>
    </row>
    <row r="23" spans="1:11">
      <c r="A23" s="44">
        <v>19</v>
      </c>
      <c r="B23" s="40" t="s">
        <v>70</v>
      </c>
      <c r="C23" s="41">
        <f t="shared" ca="1" si="0"/>
        <v>29</v>
      </c>
      <c r="D23" s="36" t="s">
        <v>153</v>
      </c>
      <c r="E23" s="36">
        <f t="shared" ca="1" si="1"/>
        <v>18</v>
      </c>
      <c r="F23" s="36" t="s">
        <v>155</v>
      </c>
      <c r="G23" s="42">
        <f t="shared" ca="1" si="2"/>
        <v>2187857536557</v>
      </c>
      <c r="H23" s="43">
        <f t="shared" ca="1" si="3"/>
        <v>37420</v>
      </c>
      <c r="I23" s="36" t="s">
        <v>170</v>
      </c>
      <c r="J23" s="90">
        <f t="shared" ca="1" si="4"/>
        <v>3148</v>
      </c>
      <c r="K23" s="36">
        <f t="shared" ca="1" si="5"/>
        <v>271</v>
      </c>
    </row>
    <row r="24" spans="1:11">
      <c r="A24" s="44">
        <v>20</v>
      </c>
      <c r="B24" s="40" t="s">
        <v>71</v>
      </c>
      <c r="C24" s="41">
        <f t="shared" ca="1" si="0"/>
        <v>30</v>
      </c>
      <c r="D24" s="36" t="s">
        <v>153</v>
      </c>
      <c r="E24" s="36">
        <f t="shared" ca="1" si="1"/>
        <v>39</v>
      </c>
      <c r="F24" s="36" t="s">
        <v>167</v>
      </c>
      <c r="G24" s="42">
        <f t="shared" ca="1" si="2"/>
        <v>8907986198736</v>
      </c>
      <c r="H24" s="43">
        <f t="shared" ca="1" si="3"/>
        <v>37956</v>
      </c>
      <c r="I24" s="36" t="s">
        <v>170</v>
      </c>
      <c r="J24" s="90">
        <f t="shared" ca="1" si="4"/>
        <v>4561</v>
      </c>
      <c r="K24" s="36">
        <f t="shared" ca="1" si="5"/>
        <v>212</v>
      </c>
    </row>
    <row r="25" spans="1:11">
      <c r="A25" s="44">
        <v>21</v>
      </c>
      <c r="B25" s="40" t="s">
        <v>72</v>
      </c>
      <c r="C25" s="41">
        <f t="shared" ca="1" si="0"/>
        <v>28</v>
      </c>
      <c r="D25" s="36" t="s">
        <v>153</v>
      </c>
      <c r="E25" s="36">
        <f t="shared" ca="1" si="1"/>
        <v>38</v>
      </c>
      <c r="F25" s="36" t="s">
        <v>159</v>
      </c>
      <c r="G25" s="42">
        <f t="shared" ca="1" si="2"/>
        <v>6455195308462</v>
      </c>
      <c r="H25" s="43">
        <f t="shared" ca="1" si="3"/>
        <v>38113</v>
      </c>
      <c r="I25" s="36" t="s">
        <v>170</v>
      </c>
      <c r="J25" s="90">
        <f t="shared" ca="1" si="4"/>
        <v>4781</v>
      </c>
      <c r="K25" s="36">
        <f t="shared" ca="1" si="5"/>
        <v>309</v>
      </c>
    </row>
    <row r="26" spans="1:11">
      <c r="A26" s="44">
        <v>22</v>
      </c>
      <c r="B26" s="40" t="s">
        <v>73</v>
      </c>
      <c r="C26" s="41">
        <f t="shared" ca="1" si="0"/>
        <v>30</v>
      </c>
      <c r="D26" s="36" t="s">
        <v>152</v>
      </c>
      <c r="E26" s="36">
        <f t="shared" ca="1" si="1"/>
        <v>20</v>
      </c>
      <c r="F26" s="36" t="s">
        <v>156</v>
      </c>
      <c r="G26" s="42">
        <f t="shared" ca="1" si="2"/>
        <v>6165969804142</v>
      </c>
      <c r="H26" s="43">
        <f t="shared" ca="1" si="3"/>
        <v>37533</v>
      </c>
      <c r="I26" s="36" t="s">
        <v>170</v>
      </c>
      <c r="J26" s="90">
        <f t="shared" ca="1" si="4"/>
        <v>2926</v>
      </c>
      <c r="K26" s="36">
        <f t="shared" ca="1" si="5"/>
        <v>322</v>
      </c>
    </row>
    <row r="27" spans="1:11">
      <c r="A27" s="44">
        <v>23</v>
      </c>
      <c r="B27" s="40" t="s">
        <v>74</v>
      </c>
      <c r="C27" s="41">
        <f t="shared" ca="1" si="0"/>
        <v>25</v>
      </c>
      <c r="D27" s="36" t="s">
        <v>152</v>
      </c>
      <c r="E27" s="36">
        <f t="shared" ca="1" si="1"/>
        <v>30</v>
      </c>
      <c r="F27" s="36" t="s">
        <v>169</v>
      </c>
      <c r="G27" s="42">
        <f t="shared" ca="1" si="2"/>
        <v>7079376422093</v>
      </c>
      <c r="H27" s="43">
        <f t="shared" ca="1" si="3"/>
        <v>40800</v>
      </c>
      <c r="I27" s="36" t="s">
        <v>170</v>
      </c>
      <c r="J27" s="90">
        <f t="shared" ca="1" si="4"/>
        <v>3657</v>
      </c>
      <c r="K27" s="36">
        <f t="shared" ca="1" si="5"/>
        <v>389</v>
      </c>
    </row>
    <row r="28" spans="1:11">
      <c r="A28" s="44">
        <v>24</v>
      </c>
      <c r="B28" s="40" t="s">
        <v>75</v>
      </c>
      <c r="C28" s="41">
        <f t="shared" ca="1" si="0"/>
        <v>26</v>
      </c>
      <c r="D28" s="36" t="s">
        <v>153</v>
      </c>
      <c r="E28" s="36">
        <f t="shared" ca="1" si="1"/>
        <v>23</v>
      </c>
      <c r="F28" s="36" t="s">
        <v>156</v>
      </c>
      <c r="G28" s="42">
        <f t="shared" ca="1" si="2"/>
        <v>7461134732406</v>
      </c>
      <c r="H28" s="43">
        <f t="shared" ca="1" si="3"/>
        <v>39252</v>
      </c>
      <c r="I28" s="36" t="s">
        <v>170</v>
      </c>
      <c r="J28" s="90">
        <f t="shared" ca="1" si="4"/>
        <v>3771</v>
      </c>
      <c r="K28" s="36">
        <f t="shared" ca="1" si="5"/>
        <v>297</v>
      </c>
    </row>
    <row r="29" spans="1:11">
      <c r="A29" s="44">
        <v>25</v>
      </c>
      <c r="B29" s="40" t="s">
        <v>76</v>
      </c>
      <c r="C29" s="41">
        <f t="shared" ca="1" si="0"/>
        <v>28</v>
      </c>
      <c r="D29" s="36" t="s">
        <v>152</v>
      </c>
      <c r="E29" s="36">
        <f t="shared" ca="1" si="1"/>
        <v>28</v>
      </c>
      <c r="F29" s="36" t="s">
        <v>160</v>
      </c>
      <c r="G29" s="42">
        <f t="shared" ca="1" si="2"/>
        <v>3785628719533</v>
      </c>
      <c r="H29" s="43">
        <f t="shared" ca="1" si="3"/>
        <v>37457</v>
      </c>
      <c r="I29" s="36" t="s">
        <v>170</v>
      </c>
      <c r="J29" s="90">
        <f t="shared" ca="1" si="4"/>
        <v>3969</v>
      </c>
      <c r="K29" s="36">
        <f t="shared" ca="1" si="5"/>
        <v>235</v>
      </c>
    </row>
    <row r="30" spans="1:11">
      <c r="A30" s="44">
        <v>26</v>
      </c>
      <c r="B30" s="40" t="s">
        <v>77</v>
      </c>
      <c r="C30" s="41">
        <f t="shared" ca="1" si="0"/>
        <v>26</v>
      </c>
      <c r="D30" s="36" t="s">
        <v>153</v>
      </c>
      <c r="E30" s="36">
        <f t="shared" ca="1" si="1"/>
        <v>27</v>
      </c>
      <c r="F30" s="36" t="s">
        <v>156</v>
      </c>
      <c r="G30" s="42">
        <f t="shared" ca="1" si="2"/>
        <v>7179939019225</v>
      </c>
      <c r="H30" s="43">
        <f t="shared" ca="1" si="3"/>
        <v>37925</v>
      </c>
      <c r="I30" s="36" t="s">
        <v>170</v>
      </c>
      <c r="J30" s="90">
        <f t="shared" ca="1" si="4"/>
        <v>2896</v>
      </c>
      <c r="K30" s="36">
        <f t="shared" ca="1" si="5"/>
        <v>267</v>
      </c>
    </row>
    <row r="31" spans="1:11">
      <c r="A31" s="44">
        <v>27</v>
      </c>
      <c r="B31" s="40" t="s">
        <v>78</v>
      </c>
      <c r="C31" s="41">
        <f t="shared" ca="1" si="0"/>
        <v>26</v>
      </c>
      <c r="D31" s="36" t="s">
        <v>153</v>
      </c>
      <c r="E31" s="36">
        <f t="shared" ca="1" si="1"/>
        <v>33</v>
      </c>
      <c r="F31" s="36" t="s">
        <v>163</v>
      </c>
      <c r="G31" s="42">
        <f t="shared" ca="1" si="2"/>
        <v>5315881468592</v>
      </c>
      <c r="H31" s="43">
        <f t="shared" ca="1" si="3"/>
        <v>37997</v>
      </c>
      <c r="I31" s="36" t="s">
        <v>170</v>
      </c>
      <c r="J31" s="90">
        <f t="shared" ca="1" si="4"/>
        <v>4919</v>
      </c>
      <c r="K31" s="36">
        <f t="shared" ca="1" si="5"/>
        <v>219</v>
      </c>
    </row>
    <row r="32" spans="1:11">
      <c r="A32" s="44">
        <v>28</v>
      </c>
      <c r="B32" s="40" t="s">
        <v>79</v>
      </c>
      <c r="C32" s="41">
        <f t="shared" ca="1" si="0"/>
        <v>27</v>
      </c>
      <c r="D32" s="36" t="s">
        <v>152</v>
      </c>
      <c r="E32" s="36">
        <f t="shared" ca="1" si="1"/>
        <v>30</v>
      </c>
      <c r="F32" s="36" t="s">
        <v>169</v>
      </c>
      <c r="G32" s="42">
        <f t="shared" ca="1" si="2"/>
        <v>3988025360467</v>
      </c>
      <c r="H32" s="43">
        <f t="shared" ca="1" si="3"/>
        <v>41920</v>
      </c>
      <c r="I32" s="36" t="s">
        <v>170</v>
      </c>
      <c r="J32" s="90">
        <f t="shared" ca="1" si="4"/>
        <v>4491</v>
      </c>
      <c r="K32" s="36">
        <f t="shared" ca="1" si="5"/>
        <v>224</v>
      </c>
    </row>
    <row r="33" spans="1:11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32</v>
      </c>
      <c r="F33" s="36" t="s">
        <v>154</v>
      </c>
      <c r="G33" s="42">
        <f t="shared" ca="1" si="2"/>
        <v>5013506191754</v>
      </c>
      <c r="H33" s="43">
        <f t="shared" ca="1" si="3"/>
        <v>38573</v>
      </c>
      <c r="I33" s="36" t="s">
        <v>170</v>
      </c>
      <c r="J33" s="90">
        <f t="shared" ca="1" si="4"/>
        <v>4355</v>
      </c>
      <c r="K33" s="36">
        <f t="shared" ca="1" si="5"/>
        <v>392</v>
      </c>
    </row>
    <row r="34" spans="1:11">
      <c r="A34" s="44">
        <v>30</v>
      </c>
      <c r="B34" s="40" t="s">
        <v>81</v>
      </c>
      <c r="C34" s="41">
        <f t="shared" ca="1" si="0"/>
        <v>25</v>
      </c>
      <c r="D34" s="36" t="s">
        <v>153</v>
      </c>
      <c r="E34" s="36">
        <f t="shared" ca="1" si="1"/>
        <v>23</v>
      </c>
      <c r="F34" s="36" t="s">
        <v>169</v>
      </c>
      <c r="G34" s="42">
        <f t="shared" ca="1" si="2"/>
        <v>2911814354451</v>
      </c>
      <c r="H34" s="43">
        <f t="shared" ca="1" si="3"/>
        <v>41846</v>
      </c>
      <c r="I34" s="36" t="s">
        <v>170</v>
      </c>
      <c r="J34" s="90">
        <f t="shared" ca="1" si="4"/>
        <v>4972</v>
      </c>
      <c r="K34" s="36">
        <f t="shared" ca="1" si="5"/>
        <v>399</v>
      </c>
    </row>
    <row r="35" spans="1:11">
      <c r="A35" s="44">
        <v>31</v>
      </c>
      <c r="B35" s="40" t="s">
        <v>82</v>
      </c>
      <c r="C35" s="41">
        <f t="shared" ca="1" si="0"/>
        <v>28</v>
      </c>
      <c r="D35" s="36" t="s">
        <v>152</v>
      </c>
      <c r="E35" s="36">
        <f t="shared" ca="1" si="1"/>
        <v>37</v>
      </c>
      <c r="F35" s="36" t="s">
        <v>156</v>
      </c>
      <c r="G35" s="42">
        <f t="shared" ca="1" si="2"/>
        <v>8067327172569</v>
      </c>
      <c r="H35" s="43">
        <f t="shared" ca="1" si="3"/>
        <v>37912</v>
      </c>
      <c r="I35" s="36" t="s">
        <v>170</v>
      </c>
      <c r="J35" s="90">
        <f t="shared" ca="1" si="4"/>
        <v>4763</v>
      </c>
      <c r="K35" s="36">
        <f t="shared" ca="1" si="5"/>
        <v>244</v>
      </c>
    </row>
    <row r="36" spans="1:11">
      <c r="A36" s="44">
        <v>32</v>
      </c>
      <c r="B36" s="40" t="s">
        <v>83</v>
      </c>
      <c r="C36" s="41">
        <f t="shared" ca="1" si="0"/>
        <v>29</v>
      </c>
      <c r="D36" s="36" t="s">
        <v>153</v>
      </c>
      <c r="E36" s="36">
        <f t="shared" ca="1" si="1"/>
        <v>36</v>
      </c>
      <c r="F36" s="36" t="s">
        <v>169</v>
      </c>
      <c r="G36" s="42">
        <f t="shared" ca="1" si="2"/>
        <v>2854484693018</v>
      </c>
      <c r="H36" s="43">
        <f t="shared" ca="1" si="3"/>
        <v>42476</v>
      </c>
      <c r="I36" s="36" t="s">
        <v>170</v>
      </c>
      <c r="J36" s="90">
        <f t="shared" ca="1" si="4"/>
        <v>4329</v>
      </c>
      <c r="K36" s="36">
        <f t="shared" ca="1" si="5"/>
        <v>361</v>
      </c>
    </row>
    <row r="37" spans="1:11">
      <c r="A37" s="44">
        <v>33</v>
      </c>
      <c r="B37" s="40" t="s">
        <v>84</v>
      </c>
      <c r="C37" s="41">
        <f t="shared" ref="C37:C68" ca="1" si="6">RANDBETWEEN(25,30)</f>
        <v>27</v>
      </c>
      <c r="D37" s="36" t="s">
        <v>152</v>
      </c>
      <c r="E37" s="36">
        <f t="shared" ref="E37:E68" ca="1" si="7">RANDBETWEEN(18,41)</f>
        <v>35</v>
      </c>
      <c r="F37" s="36" t="s">
        <v>169</v>
      </c>
      <c r="G37" s="42">
        <f t="shared" ref="G37:G68" ca="1" si="8">RANDBETWEEN(2000000000101,9000000009999)</f>
        <v>6355657004173</v>
      </c>
      <c r="H37" s="43">
        <f t="shared" ref="H37:H68" ca="1" si="9">RANDBETWEEN(DATE(2001,1,1),DATE(2018,7,15))</f>
        <v>40883</v>
      </c>
      <c r="I37" s="36" t="s">
        <v>170</v>
      </c>
      <c r="J37" s="90">
        <f t="shared" ref="J37:J68" ca="1" si="10">RANDBETWEEN(2750,5000)</f>
        <v>3099</v>
      </c>
      <c r="K37" s="36">
        <f t="shared" ref="K37:K68" ca="1" si="11">RANDBETWEEN(200,400)</f>
        <v>207</v>
      </c>
    </row>
    <row r="38" spans="1:11">
      <c r="A38" s="44">
        <v>34</v>
      </c>
      <c r="B38" s="40" t="s">
        <v>85</v>
      </c>
      <c r="C38" s="41">
        <f t="shared" ca="1" si="6"/>
        <v>28</v>
      </c>
      <c r="D38" s="36" t="s">
        <v>153</v>
      </c>
      <c r="E38" s="36">
        <f t="shared" ca="1" si="7"/>
        <v>24</v>
      </c>
      <c r="F38" s="36" t="s">
        <v>169</v>
      </c>
      <c r="G38" s="42">
        <f t="shared" ca="1" si="8"/>
        <v>4023817747457</v>
      </c>
      <c r="H38" s="43">
        <f t="shared" ca="1" si="9"/>
        <v>42876</v>
      </c>
      <c r="I38" s="36" t="s">
        <v>170</v>
      </c>
      <c r="J38" s="90">
        <f t="shared" ca="1" si="10"/>
        <v>4110</v>
      </c>
      <c r="K38" s="36">
        <f t="shared" ca="1" si="11"/>
        <v>362</v>
      </c>
    </row>
    <row r="39" spans="1:11">
      <c r="A39" s="44">
        <v>35</v>
      </c>
      <c r="B39" s="40" t="s">
        <v>86</v>
      </c>
      <c r="C39" s="41">
        <f t="shared" ca="1" si="6"/>
        <v>28</v>
      </c>
      <c r="D39" s="36" t="s">
        <v>153</v>
      </c>
      <c r="E39" s="36">
        <f t="shared" ca="1" si="7"/>
        <v>30</v>
      </c>
      <c r="F39" s="36" t="s">
        <v>156</v>
      </c>
      <c r="G39" s="42">
        <f t="shared" ca="1" si="8"/>
        <v>8377255427513</v>
      </c>
      <c r="H39" s="43">
        <f t="shared" ca="1" si="9"/>
        <v>37316</v>
      </c>
      <c r="I39" s="36" t="s">
        <v>170</v>
      </c>
      <c r="J39" s="90">
        <f t="shared" ca="1" si="10"/>
        <v>4452</v>
      </c>
      <c r="K39" s="36">
        <f t="shared" ca="1" si="11"/>
        <v>219</v>
      </c>
    </row>
    <row r="40" spans="1:11">
      <c r="A40" s="44">
        <v>36</v>
      </c>
      <c r="B40" s="40" t="s">
        <v>87</v>
      </c>
      <c r="C40" s="41">
        <f t="shared" ca="1" si="6"/>
        <v>26</v>
      </c>
      <c r="D40" s="36" t="s">
        <v>152</v>
      </c>
      <c r="E40" s="36">
        <f t="shared" ca="1" si="7"/>
        <v>41</v>
      </c>
      <c r="F40" s="36" t="s">
        <v>155</v>
      </c>
      <c r="G40" s="42">
        <f t="shared" ca="1" si="8"/>
        <v>4001020386409</v>
      </c>
      <c r="H40" s="43">
        <f t="shared" ca="1" si="9"/>
        <v>41555</v>
      </c>
      <c r="I40" s="36" t="s">
        <v>170</v>
      </c>
      <c r="J40" s="90">
        <f t="shared" ca="1" si="10"/>
        <v>2994</v>
      </c>
      <c r="K40" s="36">
        <f t="shared" ca="1" si="11"/>
        <v>377</v>
      </c>
    </row>
    <row r="41" spans="1:11">
      <c r="A41" s="44">
        <v>37</v>
      </c>
      <c r="B41" s="40" t="s">
        <v>88</v>
      </c>
      <c r="C41" s="41">
        <f t="shared" ca="1" si="6"/>
        <v>28</v>
      </c>
      <c r="D41" s="36" t="s">
        <v>152</v>
      </c>
      <c r="E41" s="36">
        <f t="shared" ca="1" si="7"/>
        <v>35</v>
      </c>
      <c r="F41" s="36" t="s">
        <v>169</v>
      </c>
      <c r="G41" s="42">
        <f t="shared" ca="1" si="8"/>
        <v>6365594677909</v>
      </c>
      <c r="H41" s="43">
        <f t="shared" ca="1" si="9"/>
        <v>42856</v>
      </c>
      <c r="I41" s="36" t="s">
        <v>170</v>
      </c>
      <c r="J41" s="90">
        <f t="shared" ca="1" si="10"/>
        <v>3326</v>
      </c>
      <c r="K41" s="36">
        <f t="shared" ca="1" si="11"/>
        <v>395</v>
      </c>
    </row>
    <row r="42" spans="1:11">
      <c r="A42" s="44">
        <v>38</v>
      </c>
      <c r="B42" s="40" t="s">
        <v>89</v>
      </c>
      <c r="C42" s="41">
        <f t="shared" ca="1" si="6"/>
        <v>25</v>
      </c>
      <c r="D42" s="36" t="s">
        <v>153</v>
      </c>
      <c r="E42" s="36">
        <f t="shared" ca="1" si="7"/>
        <v>31</v>
      </c>
      <c r="F42" s="36" t="s">
        <v>158</v>
      </c>
      <c r="G42" s="42">
        <f t="shared" ca="1" si="8"/>
        <v>2424242324197</v>
      </c>
      <c r="H42" s="43">
        <f t="shared" ca="1" si="9"/>
        <v>43045</v>
      </c>
      <c r="I42" s="36" t="s">
        <v>170</v>
      </c>
      <c r="J42" s="90">
        <f t="shared" ca="1" si="10"/>
        <v>4617</v>
      </c>
      <c r="K42" s="36">
        <f t="shared" ca="1" si="11"/>
        <v>296</v>
      </c>
    </row>
    <row r="43" spans="1:11">
      <c r="A43" s="44">
        <v>39</v>
      </c>
      <c r="B43" s="40" t="s">
        <v>90</v>
      </c>
      <c r="C43" s="41">
        <f t="shared" ca="1" si="6"/>
        <v>30</v>
      </c>
      <c r="D43" s="36" t="s">
        <v>153</v>
      </c>
      <c r="E43" s="36">
        <f t="shared" ca="1" si="7"/>
        <v>37</v>
      </c>
      <c r="F43" s="36" t="s">
        <v>159</v>
      </c>
      <c r="G43" s="42">
        <f t="shared" ca="1" si="8"/>
        <v>3960299709238</v>
      </c>
      <c r="H43" s="43">
        <f t="shared" ca="1" si="9"/>
        <v>38278</v>
      </c>
      <c r="I43" s="36" t="s">
        <v>170</v>
      </c>
      <c r="J43" s="90">
        <f t="shared" ca="1" si="10"/>
        <v>3657</v>
      </c>
      <c r="K43" s="36">
        <f t="shared" ca="1" si="11"/>
        <v>208</v>
      </c>
    </row>
    <row r="44" spans="1:11">
      <c r="A44" s="44">
        <v>40</v>
      </c>
      <c r="B44" s="40" t="s">
        <v>91</v>
      </c>
      <c r="C44" s="41">
        <f t="shared" ca="1" si="6"/>
        <v>27</v>
      </c>
      <c r="D44" s="36" t="s">
        <v>152</v>
      </c>
      <c r="E44" s="36">
        <f t="shared" ca="1" si="7"/>
        <v>26</v>
      </c>
      <c r="F44" s="36" t="s">
        <v>156</v>
      </c>
      <c r="G44" s="42">
        <f t="shared" ca="1" si="8"/>
        <v>7288440182354</v>
      </c>
      <c r="H44" s="43">
        <f t="shared" ca="1" si="9"/>
        <v>43048</v>
      </c>
      <c r="I44" s="36" t="s">
        <v>170</v>
      </c>
      <c r="J44" s="90">
        <f t="shared" ca="1" si="10"/>
        <v>3014</v>
      </c>
      <c r="K44" s="36">
        <f t="shared" ca="1" si="11"/>
        <v>326</v>
      </c>
    </row>
    <row r="45" spans="1:11">
      <c r="A45" s="44">
        <v>41</v>
      </c>
      <c r="B45" s="40" t="s">
        <v>92</v>
      </c>
      <c r="C45" s="41">
        <f t="shared" ca="1" si="6"/>
        <v>30</v>
      </c>
      <c r="D45" s="36" t="s">
        <v>153</v>
      </c>
      <c r="E45" s="36">
        <f t="shared" ca="1" si="7"/>
        <v>35</v>
      </c>
      <c r="F45" s="36" t="s">
        <v>169</v>
      </c>
      <c r="G45" s="42">
        <f t="shared" ca="1" si="8"/>
        <v>4479523349376</v>
      </c>
      <c r="H45" s="43">
        <f t="shared" ca="1" si="9"/>
        <v>40697</v>
      </c>
      <c r="I45" s="36" t="s">
        <v>170</v>
      </c>
      <c r="J45" s="90">
        <f t="shared" ca="1" si="10"/>
        <v>4150</v>
      </c>
      <c r="K45" s="36">
        <f t="shared" ca="1" si="11"/>
        <v>358</v>
      </c>
    </row>
    <row r="46" spans="1:11">
      <c r="A46" s="44">
        <v>42</v>
      </c>
      <c r="B46" s="40" t="s">
        <v>93</v>
      </c>
      <c r="C46" s="41">
        <f t="shared" ca="1" si="6"/>
        <v>26</v>
      </c>
      <c r="D46" s="36" t="s">
        <v>153</v>
      </c>
      <c r="E46" s="36">
        <f t="shared" ca="1" si="7"/>
        <v>19</v>
      </c>
      <c r="F46" s="36" t="s">
        <v>156</v>
      </c>
      <c r="G46" s="42">
        <f t="shared" ca="1" si="8"/>
        <v>6767843642767</v>
      </c>
      <c r="H46" s="43">
        <f t="shared" ca="1" si="9"/>
        <v>40300</v>
      </c>
      <c r="I46" s="36" t="s">
        <v>170</v>
      </c>
      <c r="J46" s="90">
        <f t="shared" ca="1" si="10"/>
        <v>3155</v>
      </c>
      <c r="K46" s="36">
        <f t="shared" ca="1" si="11"/>
        <v>400</v>
      </c>
    </row>
    <row r="47" spans="1:11">
      <c r="A47" s="44">
        <v>43</v>
      </c>
      <c r="B47" s="40" t="s">
        <v>94</v>
      </c>
      <c r="C47" s="41">
        <f t="shared" ca="1" si="6"/>
        <v>25</v>
      </c>
      <c r="D47" s="36" t="s">
        <v>152</v>
      </c>
      <c r="E47" s="36">
        <f t="shared" ca="1" si="7"/>
        <v>24</v>
      </c>
      <c r="F47" s="36" t="s">
        <v>169</v>
      </c>
      <c r="G47" s="42">
        <f t="shared" ca="1" si="8"/>
        <v>8991344618325</v>
      </c>
      <c r="H47" s="43">
        <f t="shared" ca="1" si="9"/>
        <v>41140</v>
      </c>
      <c r="I47" s="36" t="s">
        <v>170</v>
      </c>
      <c r="J47" s="90">
        <f t="shared" ca="1" si="10"/>
        <v>3676</v>
      </c>
      <c r="K47" s="36">
        <f t="shared" ca="1" si="11"/>
        <v>324</v>
      </c>
    </row>
    <row r="48" spans="1:11">
      <c r="A48" s="44">
        <v>44</v>
      </c>
      <c r="B48" s="40" t="s">
        <v>95</v>
      </c>
      <c r="C48" s="41">
        <f t="shared" ca="1" si="6"/>
        <v>25</v>
      </c>
      <c r="D48" s="36" t="s">
        <v>153</v>
      </c>
      <c r="E48" s="36">
        <f t="shared" ca="1" si="7"/>
        <v>34</v>
      </c>
      <c r="F48" s="36" t="s">
        <v>159</v>
      </c>
      <c r="G48" s="42">
        <f t="shared" ca="1" si="8"/>
        <v>5846380811181</v>
      </c>
      <c r="H48" s="43">
        <f t="shared" ca="1" si="9"/>
        <v>37393</v>
      </c>
      <c r="I48" s="36" t="s">
        <v>170</v>
      </c>
      <c r="J48" s="90">
        <f t="shared" ca="1" si="10"/>
        <v>3288</v>
      </c>
      <c r="K48" s="36">
        <f t="shared" ca="1" si="11"/>
        <v>266</v>
      </c>
    </row>
    <row r="49" spans="1:11">
      <c r="A49" s="44">
        <v>45</v>
      </c>
      <c r="B49" s="40" t="s">
        <v>96</v>
      </c>
      <c r="C49" s="41">
        <f t="shared" ca="1" si="6"/>
        <v>26</v>
      </c>
      <c r="D49" s="36" t="s">
        <v>153</v>
      </c>
      <c r="E49" s="36">
        <f t="shared" ca="1" si="7"/>
        <v>26</v>
      </c>
      <c r="F49" s="36" t="s">
        <v>156</v>
      </c>
      <c r="G49" s="42">
        <f t="shared" ca="1" si="8"/>
        <v>3593362615867</v>
      </c>
      <c r="H49" s="43">
        <f t="shared" ca="1" si="9"/>
        <v>39409</v>
      </c>
      <c r="I49" s="36" t="s">
        <v>170</v>
      </c>
      <c r="J49" s="90">
        <f t="shared" ca="1" si="10"/>
        <v>3774</v>
      </c>
      <c r="K49" s="36">
        <f t="shared" ca="1" si="11"/>
        <v>216</v>
      </c>
    </row>
    <row r="50" spans="1:11">
      <c r="A50" s="44">
        <v>46</v>
      </c>
      <c r="B50" s="40" t="s">
        <v>97</v>
      </c>
      <c r="C50" s="41">
        <f t="shared" ca="1" si="6"/>
        <v>30</v>
      </c>
      <c r="D50" s="36" t="s">
        <v>153</v>
      </c>
      <c r="E50" s="36">
        <f t="shared" ca="1" si="7"/>
        <v>20</v>
      </c>
      <c r="F50" s="36" t="s">
        <v>169</v>
      </c>
      <c r="G50" s="42">
        <f t="shared" ca="1" si="8"/>
        <v>3011517438725</v>
      </c>
      <c r="H50" s="43">
        <f t="shared" ca="1" si="9"/>
        <v>43060</v>
      </c>
      <c r="I50" s="36" t="s">
        <v>170</v>
      </c>
      <c r="J50" s="90">
        <f t="shared" ca="1" si="10"/>
        <v>4646</v>
      </c>
      <c r="K50" s="36">
        <f t="shared" ca="1" si="11"/>
        <v>222</v>
      </c>
    </row>
    <row r="51" spans="1:11">
      <c r="A51" s="44">
        <v>47</v>
      </c>
      <c r="B51" s="40" t="s">
        <v>98</v>
      </c>
      <c r="C51" s="41">
        <f t="shared" ca="1" si="6"/>
        <v>25</v>
      </c>
      <c r="D51" s="36" t="s">
        <v>152</v>
      </c>
      <c r="E51" s="36">
        <f t="shared" ca="1" si="7"/>
        <v>22</v>
      </c>
      <c r="F51" s="36" t="s">
        <v>169</v>
      </c>
      <c r="G51" s="42">
        <f t="shared" ca="1" si="8"/>
        <v>5110018780433</v>
      </c>
      <c r="H51" s="43">
        <f t="shared" ca="1" si="9"/>
        <v>41883</v>
      </c>
      <c r="I51" s="36" t="s">
        <v>170</v>
      </c>
      <c r="J51" s="90">
        <f t="shared" ca="1" si="10"/>
        <v>3645</v>
      </c>
      <c r="K51" s="36">
        <f t="shared" ca="1" si="11"/>
        <v>249</v>
      </c>
    </row>
    <row r="52" spans="1:11">
      <c r="A52" s="44">
        <v>48</v>
      </c>
      <c r="B52" s="40" t="s">
        <v>99</v>
      </c>
      <c r="C52" s="41">
        <f t="shared" ca="1" si="6"/>
        <v>26</v>
      </c>
      <c r="D52" s="36" t="s">
        <v>153</v>
      </c>
      <c r="E52" s="36">
        <f t="shared" ca="1" si="7"/>
        <v>36</v>
      </c>
      <c r="F52" s="36" t="s">
        <v>155</v>
      </c>
      <c r="G52" s="42">
        <f t="shared" ca="1" si="8"/>
        <v>5311289621067</v>
      </c>
      <c r="H52" s="43">
        <f t="shared" ca="1" si="9"/>
        <v>40200</v>
      </c>
      <c r="I52" s="36" t="s">
        <v>170</v>
      </c>
      <c r="J52" s="90">
        <f t="shared" ca="1" si="10"/>
        <v>4939</v>
      </c>
      <c r="K52" s="36">
        <f t="shared" ca="1" si="11"/>
        <v>271</v>
      </c>
    </row>
    <row r="53" spans="1:11">
      <c r="A53" s="44">
        <v>49</v>
      </c>
      <c r="B53" s="40" t="s">
        <v>100</v>
      </c>
      <c r="C53" s="41">
        <f t="shared" ca="1" si="6"/>
        <v>29</v>
      </c>
      <c r="D53" s="36" t="s">
        <v>152</v>
      </c>
      <c r="E53" s="36">
        <f t="shared" ca="1" si="7"/>
        <v>35</v>
      </c>
      <c r="F53" s="36" t="s">
        <v>169</v>
      </c>
      <c r="G53" s="42">
        <f t="shared" ca="1" si="8"/>
        <v>7097579421587</v>
      </c>
      <c r="H53" s="43">
        <f t="shared" ca="1" si="9"/>
        <v>43247</v>
      </c>
      <c r="I53" s="36" t="s">
        <v>170</v>
      </c>
      <c r="J53" s="90">
        <f t="shared" ca="1" si="10"/>
        <v>3869</v>
      </c>
      <c r="K53" s="36">
        <f t="shared" ca="1" si="11"/>
        <v>320</v>
      </c>
    </row>
    <row r="54" spans="1:11">
      <c r="A54" s="44">
        <v>50</v>
      </c>
      <c r="B54" s="40" t="s">
        <v>101</v>
      </c>
      <c r="C54" s="41">
        <f t="shared" ca="1" si="6"/>
        <v>29</v>
      </c>
      <c r="D54" s="36" t="s">
        <v>152</v>
      </c>
      <c r="E54" s="36">
        <f t="shared" ca="1" si="7"/>
        <v>35</v>
      </c>
      <c r="F54" s="36" t="s">
        <v>167</v>
      </c>
      <c r="G54" s="42">
        <f t="shared" ca="1" si="8"/>
        <v>6213305059993</v>
      </c>
      <c r="H54" s="43">
        <f t="shared" ca="1" si="9"/>
        <v>41429</v>
      </c>
      <c r="I54" s="36" t="s">
        <v>170</v>
      </c>
      <c r="J54" s="90">
        <f t="shared" ca="1" si="10"/>
        <v>4763</v>
      </c>
      <c r="K54" s="36">
        <f t="shared" ca="1" si="11"/>
        <v>369</v>
      </c>
    </row>
    <row r="55" spans="1:11">
      <c r="A55" s="44">
        <v>51</v>
      </c>
      <c r="B55" s="40" t="s">
        <v>102</v>
      </c>
      <c r="C55" s="41">
        <f t="shared" ca="1" si="6"/>
        <v>27</v>
      </c>
      <c r="D55" s="36" t="s">
        <v>152</v>
      </c>
      <c r="E55" s="36">
        <f t="shared" ca="1" si="7"/>
        <v>32</v>
      </c>
      <c r="F55" s="36" t="s">
        <v>156</v>
      </c>
      <c r="G55" s="42">
        <f t="shared" ca="1" si="8"/>
        <v>8689046894958</v>
      </c>
      <c r="H55" s="43">
        <f t="shared" ca="1" si="9"/>
        <v>40763</v>
      </c>
      <c r="I55" s="36" t="s">
        <v>170</v>
      </c>
      <c r="J55" s="90">
        <f t="shared" ca="1" si="10"/>
        <v>2764</v>
      </c>
      <c r="K55" s="36">
        <f t="shared" ca="1" si="11"/>
        <v>322</v>
      </c>
    </row>
    <row r="56" spans="1:11">
      <c r="A56" s="44">
        <v>52</v>
      </c>
      <c r="B56" s="40" t="s">
        <v>103</v>
      </c>
      <c r="C56" s="41">
        <f t="shared" ca="1" si="6"/>
        <v>28</v>
      </c>
      <c r="D56" s="36" t="s">
        <v>153</v>
      </c>
      <c r="E56" s="36">
        <f t="shared" ca="1" si="7"/>
        <v>33</v>
      </c>
      <c r="F56" s="36" t="s">
        <v>156</v>
      </c>
      <c r="G56" s="42">
        <f t="shared" ca="1" si="8"/>
        <v>5887957148644</v>
      </c>
      <c r="H56" s="43">
        <f t="shared" ca="1" si="9"/>
        <v>38540</v>
      </c>
      <c r="I56" s="36" t="s">
        <v>170</v>
      </c>
      <c r="J56" s="90">
        <f t="shared" ca="1" si="10"/>
        <v>2877</v>
      </c>
      <c r="K56" s="36">
        <f t="shared" ca="1" si="11"/>
        <v>220</v>
      </c>
    </row>
    <row r="57" spans="1:11">
      <c r="A57" s="44">
        <v>53</v>
      </c>
      <c r="B57" s="40" t="s">
        <v>104</v>
      </c>
      <c r="C57" s="41">
        <f t="shared" ca="1" si="6"/>
        <v>30</v>
      </c>
      <c r="D57" s="36" t="s">
        <v>152</v>
      </c>
      <c r="E57" s="36">
        <f t="shared" ca="1" si="7"/>
        <v>31</v>
      </c>
      <c r="F57" s="36" t="s">
        <v>169</v>
      </c>
      <c r="G57" s="42">
        <f t="shared" ca="1" si="8"/>
        <v>7723948697493</v>
      </c>
      <c r="H57" s="43">
        <f t="shared" ca="1" si="9"/>
        <v>40386</v>
      </c>
      <c r="I57" s="36" t="s">
        <v>170</v>
      </c>
      <c r="J57" s="90">
        <f t="shared" ca="1" si="10"/>
        <v>2872</v>
      </c>
      <c r="K57" s="36">
        <f t="shared" ca="1" si="11"/>
        <v>212</v>
      </c>
    </row>
    <row r="58" spans="1:11">
      <c r="A58" s="44">
        <v>54</v>
      </c>
      <c r="B58" s="40" t="s">
        <v>105</v>
      </c>
      <c r="C58" s="41">
        <f t="shared" ca="1" si="6"/>
        <v>28</v>
      </c>
      <c r="D58" s="36" t="s">
        <v>152</v>
      </c>
      <c r="E58" s="36">
        <f t="shared" ca="1" si="7"/>
        <v>39</v>
      </c>
      <c r="F58" s="36" t="s">
        <v>166</v>
      </c>
      <c r="G58" s="42">
        <f t="shared" ca="1" si="8"/>
        <v>3041735595095</v>
      </c>
      <c r="H58" s="43">
        <f t="shared" ca="1" si="9"/>
        <v>38550</v>
      </c>
      <c r="I58" s="36" t="s">
        <v>170</v>
      </c>
      <c r="J58" s="90">
        <f t="shared" ca="1" si="10"/>
        <v>4987</v>
      </c>
      <c r="K58" s="36">
        <f t="shared" ca="1" si="11"/>
        <v>352</v>
      </c>
    </row>
    <row r="59" spans="1:11">
      <c r="A59" s="44">
        <v>55</v>
      </c>
      <c r="B59" s="40" t="s">
        <v>106</v>
      </c>
      <c r="C59" s="41">
        <f t="shared" ca="1" si="6"/>
        <v>27</v>
      </c>
      <c r="D59" s="36" t="s">
        <v>153</v>
      </c>
      <c r="E59" s="36">
        <f t="shared" ca="1" si="7"/>
        <v>37</v>
      </c>
      <c r="F59" s="36" t="s">
        <v>159</v>
      </c>
      <c r="G59" s="42">
        <f t="shared" ca="1" si="8"/>
        <v>5460381749286</v>
      </c>
      <c r="H59" s="43">
        <f t="shared" ca="1" si="9"/>
        <v>37332</v>
      </c>
      <c r="I59" s="36" t="s">
        <v>170</v>
      </c>
      <c r="J59" s="90">
        <f t="shared" ca="1" si="10"/>
        <v>4031</v>
      </c>
      <c r="K59" s="36">
        <f t="shared" ca="1" si="11"/>
        <v>313</v>
      </c>
    </row>
    <row r="60" spans="1:11">
      <c r="A60" s="44">
        <v>56</v>
      </c>
      <c r="B60" s="40" t="s">
        <v>107</v>
      </c>
      <c r="C60" s="41">
        <f t="shared" ca="1" si="6"/>
        <v>30</v>
      </c>
      <c r="D60" s="36" t="s">
        <v>152</v>
      </c>
      <c r="E60" s="36">
        <f t="shared" ca="1" si="7"/>
        <v>37</v>
      </c>
      <c r="F60" s="36" t="s">
        <v>165</v>
      </c>
      <c r="G60" s="42">
        <f t="shared" ca="1" si="8"/>
        <v>7068829363426</v>
      </c>
      <c r="H60" s="43">
        <f t="shared" ca="1" si="9"/>
        <v>41669</v>
      </c>
      <c r="I60" s="36" t="s">
        <v>170</v>
      </c>
      <c r="J60" s="90">
        <f t="shared" ca="1" si="10"/>
        <v>4216</v>
      </c>
      <c r="K60" s="36">
        <f t="shared" ca="1" si="11"/>
        <v>382</v>
      </c>
    </row>
    <row r="61" spans="1:11">
      <c r="A61" s="44">
        <v>57</v>
      </c>
      <c r="B61" s="40" t="s">
        <v>108</v>
      </c>
      <c r="C61" s="41">
        <f t="shared" ca="1" si="6"/>
        <v>26</v>
      </c>
      <c r="D61" s="36" t="s">
        <v>153</v>
      </c>
      <c r="E61" s="36">
        <f t="shared" ca="1" si="7"/>
        <v>37</v>
      </c>
      <c r="F61" s="36" t="s">
        <v>163</v>
      </c>
      <c r="G61" s="42">
        <f t="shared" ca="1" si="8"/>
        <v>5735867051648</v>
      </c>
      <c r="H61" s="43">
        <f t="shared" ca="1" si="9"/>
        <v>42164</v>
      </c>
      <c r="I61" s="36" t="s">
        <v>170</v>
      </c>
      <c r="J61" s="90">
        <f t="shared" ca="1" si="10"/>
        <v>3731</v>
      </c>
      <c r="K61" s="36">
        <f t="shared" ca="1" si="11"/>
        <v>294</v>
      </c>
    </row>
    <row r="62" spans="1:11">
      <c r="A62" s="44">
        <v>58</v>
      </c>
      <c r="B62" s="40" t="s">
        <v>109</v>
      </c>
      <c r="C62" s="41">
        <f t="shared" ca="1" si="6"/>
        <v>25</v>
      </c>
      <c r="D62" s="36" t="s">
        <v>152</v>
      </c>
      <c r="E62" s="36">
        <f t="shared" ca="1" si="7"/>
        <v>38</v>
      </c>
      <c r="F62" s="36" t="s">
        <v>154</v>
      </c>
      <c r="G62" s="42">
        <f t="shared" ca="1" si="8"/>
        <v>4595095317313</v>
      </c>
      <c r="H62" s="43">
        <f t="shared" ca="1" si="9"/>
        <v>41436</v>
      </c>
      <c r="I62" s="36" t="s">
        <v>170</v>
      </c>
      <c r="J62" s="90">
        <f t="shared" ca="1" si="10"/>
        <v>4618</v>
      </c>
      <c r="K62" s="36">
        <f t="shared" ca="1" si="11"/>
        <v>287</v>
      </c>
    </row>
    <row r="63" spans="1:11">
      <c r="A63" s="44">
        <v>59</v>
      </c>
      <c r="B63" s="40" t="s">
        <v>110</v>
      </c>
      <c r="C63" s="41">
        <f t="shared" ca="1" si="6"/>
        <v>30</v>
      </c>
      <c r="D63" s="36" t="s">
        <v>153</v>
      </c>
      <c r="E63" s="36">
        <f t="shared" ca="1" si="7"/>
        <v>23</v>
      </c>
      <c r="F63" s="36" t="s">
        <v>161</v>
      </c>
      <c r="G63" s="42">
        <f t="shared" ca="1" si="8"/>
        <v>2324907649444</v>
      </c>
      <c r="H63" s="43">
        <f t="shared" ca="1" si="9"/>
        <v>39817</v>
      </c>
      <c r="I63" s="36" t="s">
        <v>170</v>
      </c>
      <c r="J63" s="90">
        <f t="shared" ca="1" si="10"/>
        <v>3373</v>
      </c>
      <c r="K63" s="36">
        <f t="shared" ca="1" si="11"/>
        <v>260</v>
      </c>
    </row>
    <row r="64" spans="1:11">
      <c r="A64" s="44">
        <v>60</v>
      </c>
      <c r="B64" s="40" t="s">
        <v>111</v>
      </c>
      <c r="C64" s="41">
        <f t="shared" ca="1" si="6"/>
        <v>26</v>
      </c>
      <c r="D64" s="36" t="s">
        <v>153</v>
      </c>
      <c r="E64" s="36">
        <f t="shared" ca="1" si="7"/>
        <v>20</v>
      </c>
      <c r="F64" s="36" t="s">
        <v>156</v>
      </c>
      <c r="G64" s="42">
        <f t="shared" ca="1" si="8"/>
        <v>8168364918017</v>
      </c>
      <c r="H64" s="43">
        <f t="shared" ca="1" si="9"/>
        <v>38335</v>
      </c>
      <c r="I64" s="36" t="s">
        <v>170</v>
      </c>
      <c r="J64" s="90">
        <f t="shared" ca="1" si="10"/>
        <v>3187</v>
      </c>
      <c r="K64" s="36">
        <f t="shared" ca="1" si="11"/>
        <v>253</v>
      </c>
    </row>
    <row r="65" spans="1:11">
      <c r="A65" s="44">
        <v>61</v>
      </c>
      <c r="B65" s="40" t="s">
        <v>112</v>
      </c>
      <c r="C65" s="41">
        <f t="shared" ca="1" si="6"/>
        <v>30</v>
      </c>
      <c r="D65" s="36" t="s">
        <v>152</v>
      </c>
      <c r="E65" s="36">
        <f t="shared" ca="1" si="7"/>
        <v>20</v>
      </c>
      <c r="F65" s="36" t="s">
        <v>160</v>
      </c>
      <c r="G65" s="42">
        <f t="shared" ca="1" si="8"/>
        <v>8467956564494</v>
      </c>
      <c r="H65" s="43">
        <f t="shared" ca="1" si="9"/>
        <v>40406</v>
      </c>
      <c r="I65" s="36" t="s">
        <v>170</v>
      </c>
      <c r="J65" s="90">
        <f t="shared" ca="1" si="10"/>
        <v>4377</v>
      </c>
      <c r="K65" s="36">
        <f t="shared" ca="1" si="11"/>
        <v>200</v>
      </c>
    </row>
    <row r="66" spans="1:11">
      <c r="A66" s="44">
        <v>62</v>
      </c>
      <c r="B66" s="40" t="s">
        <v>113</v>
      </c>
      <c r="C66" s="41">
        <f t="shared" ca="1" si="6"/>
        <v>30</v>
      </c>
      <c r="D66" s="36" t="s">
        <v>153</v>
      </c>
      <c r="E66" s="36">
        <f t="shared" ca="1" si="7"/>
        <v>30</v>
      </c>
      <c r="F66" s="36" t="s">
        <v>164</v>
      </c>
      <c r="G66" s="42">
        <f t="shared" ca="1" si="8"/>
        <v>2290968105997</v>
      </c>
      <c r="H66" s="43">
        <f t="shared" ca="1" si="9"/>
        <v>41899</v>
      </c>
      <c r="I66" s="36" t="s">
        <v>170</v>
      </c>
      <c r="J66" s="90">
        <f t="shared" ca="1" si="10"/>
        <v>3481</v>
      </c>
      <c r="K66" s="36">
        <f t="shared" ca="1" si="11"/>
        <v>370</v>
      </c>
    </row>
    <row r="67" spans="1:11">
      <c r="A67" s="44">
        <v>63</v>
      </c>
      <c r="B67" s="40" t="s">
        <v>114</v>
      </c>
      <c r="C67" s="41">
        <f t="shared" ca="1" si="6"/>
        <v>29</v>
      </c>
      <c r="D67" s="36" t="s">
        <v>152</v>
      </c>
      <c r="E67" s="36">
        <f t="shared" ca="1" si="7"/>
        <v>23</v>
      </c>
      <c r="F67" s="36" t="s">
        <v>156</v>
      </c>
      <c r="G67" s="42">
        <f t="shared" ca="1" si="8"/>
        <v>3918128508199</v>
      </c>
      <c r="H67" s="43">
        <f t="shared" ca="1" si="9"/>
        <v>42873</v>
      </c>
      <c r="I67" s="36" t="s">
        <v>170</v>
      </c>
      <c r="J67" s="90">
        <f t="shared" ca="1" si="10"/>
        <v>4954</v>
      </c>
      <c r="K67" s="36">
        <f t="shared" ca="1" si="11"/>
        <v>376</v>
      </c>
    </row>
    <row r="68" spans="1:11">
      <c r="A68" s="44">
        <v>64</v>
      </c>
      <c r="B68" s="40" t="s">
        <v>115</v>
      </c>
      <c r="C68" s="41">
        <f t="shared" ca="1" si="6"/>
        <v>30</v>
      </c>
      <c r="D68" s="36" t="s">
        <v>152</v>
      </c>
      <c r="E68" s="36">
        <f t="shared" ca="1" si="7"/>
        <v>27</v>
      </c>
      <c r="F68" s="36" t="s">
        <v>169</v>
      </c>
      <c r="G68" s="42">
        <f t="shared" ca="1" si="8"/>
        <v>7224141117263</v>
      </c>
      <c r="H68" s="43">
        <f t="shared" ca="1" si="9"/>
        <v>39239</v>
      </c>
      <c r="I68" s="36" t="s">
        <v>170</v>
      </c>
      <c r="J68" s="90">
        <f t="shared" ca="1" si="10"/>
        <v>4511</v>
      </c>
      <c r="K68" s="36">
        <f t="shared" ca="1" si="11"/>
        <v>341</v>
      </c>
    </row>
    <row r="69" spans="1:11">
      <c r="A69" s="44">
        <v>65</v>
      </c>
      <c r="B69" s="40" t="s">
        <v>116</v>
      </c>
      <c r="C69" s="41">
        <f t="shared" ref="C69:C104" ca="1" si="12">RANDBETWEEN(25,30)</f>
        <v>27</v>
      </c>
      <c r="D69" s="36" t="s">
        <v>152</v>
      </c>
      <c r="E69" s="36">
        <f t="shared" ref="E69:E104" ca="1" si="13">RANDBETWEEN(18,41)</f>
        <v>26</v>
      </c>
      <c r="F69" s="36" t="s">
        <v>169</v>
      </c>
      <c r="G69" s="42">
        <f t="shared" ref="G69:G104" ca="1" si="14">RANDBETWEEN(2000000000101,9000000009999)</f>
        <v>6470069114113</v>
      </c>
      <c r="H69" s="43">
        <f t="shared" ref="H69:H104" ca="1" si="15">RANDBETWEEN(DATE(2001,1,1),DATE(2018,7,15))</f>
        <v>41115</v>
      </c>
      <c r="I69" s="36" t="s">
        <v>170</v>
      </c>
      <c r="J69" s="90">
        <f t="shared" ref="J69:J104" ca="1" si="16">RANDBETWEEN(2750,5000)</f>
        <v>3173</v>
      </c>
      <c r="K69" s="36">
        <f t="shared" ref="K69:K104" ca="1" si="17">RANDBETWEEN(200,400)</f>
        <v>327</v>
      </c>
    </row>
    <row r="70" spans="1:11">
      <c r="A70" s="44">
        <v>66</v>
      </c>
      <c r="B70" s="40" t="s">
        <v>117</v>
      </c>
      <c r="C70" s="41">
        <f t="shared" ca="1" si="12"/>
        <v>28</v>
      </c>
      <c r="D70" s="36" t="s">
        <v>153</v>
      </c>
      <c r="E70" s="36">
        <f t="shared" ca="1" si="13"/>
        <v>41</v>
      </c>
      <c r="F70" s="36" t="s">
        <v>155</v>
      </c>
      <c r="G70" s="42">
        <f t="shared" ca="1" si="14"/>
        <v>7520499338623</v>
      </c>
      <c r="H70" s="43">
        <f t="shared" ca="1" si="15"/>
        <v>37848</v>
      </c>
      <c r="I70" s="36" t="s">
        <v>170</v>
      </c>
      <c r="J70" s="90">
        <f t="shared" ca="1" si="16"/>
        <v>2822</v>
      </c>
      <c r="K70" s="36">
        <f t="shared" ca="1" si="17"/>
        <v>349</v>
      </c>
    </row>
    <row r="71" spans="1:11">
      <c r="A71" s="44">
        <v>67</v>
      </c>
      <c r="B71" s="40" t="s">
        <v>118</v>
      </c>
      <c r="C71" s="41">
        <f t="shared" ca="1" si="12"/>
        <v>26</v>
      </c>
      <c r="D71" s="36" t="s">
        <v>152</v>
      </c>
      <c r="E71" s="36">
        <f t="shared" ca="1" si="13"/>
        <v>32</v>
      </c>
      <c r="F71" s="36" t="s">
        <v>169</v>
      </c>
      <c r="G71" s="42">
        <f t="shared" ca="1" si="14"/>
        <v>6854075906907</v>
      </c>
      <c r="H71" s="43">
        <f t="shared" ca="1" si="15"/>
        <v>38721</v>
      </c>
      <c r="I71" s="36" t="s">
        <v>170</v>
      </c>
      <c r="J71" s="90">
        <f t="shared" ca="1" si="16"/>
        <v>4636</v>
      </c>
      <c r="K71" s="36">
        <f t="shared" ca="1" si="17"/>
        <v>322</v>
      </c>
    </row>
    <row r="72" spans="1:11">
      <c r="A72" s="44">
        <v>68</v>
      </c>
      <c r="B72" s="40" t="s">
        <v>119</v>
      </c>
      <c r="C72" s="41">
        <f t="shared" ca="1" si="12"/>
        <v>30</v>
      </c>
      <c r="D72" s="36" t="s">
        <v>152</v>
      </c>
      <c r="E72" s="36">
        <f t="shared" ca="1" si="13"/>
        <v>31</v>
      </c>
      <c r="F72" s="36" t="s">
        <v>156</v>
      </c>
      <c r="G72" s="42">
        <f t="shared" ca="1" si="14"/>
        <v>3072012542430</v>
      </c>
      <c r="H72" s="43">
        <f t="shared" ca="1" si="15"/>
        <v>41055</v>
      </c>
      <c r="I72" s="36" t="s">
        <v>170</v>
      </c>
      <c r="J72" s="90">
        <f t="shared" ca="1" si="16"/>
        <v>4962</v>
      </c>
      <c r="K72" s="36">
        <f t="shared" ca="1" si="17"/>
        <v>336</v>
      </c>
    </row>
    <row r="73" spans="1:11">
      <c r="A73" s="44">
        <v>69</v>
      </c>
      <c r="B73" s="40" t="s">
        <v>120</v>
      </c>
      <c r="C73" s="41">
        <f t="shared" ca="1" si="12"/>
        <v>30</v>
      </c>
      <c r="D73" s="36" t="s">
        <v>153</v>
      </c>
      <c r="E73" s="36">
        <f t="shared" ca="1" si="13"/>
        <v>39</v>
      </c>
      <c r="F73" s="36" t="s">
        <v>163</v>
      </c>
      <c r="G73" s="42">
        <f t="shared" ca="1" si="14"/>
        <v>3669270703686</v>
      </c>
      <c r="H73" s="43">
        <f t="shared" ca="1" si="15"/>
        <v>39271</v>
      </c>
      <c r="I73" s="36" t="s">
        <v>170</v>
      </c>
      <c r="J73" s="90">
        <f t="shared" ca="1" si="16"/>
        <v>3906</v>
      </c>
      <c r="K73" s="36">
        <f t="shared" ca="1" si="17"/>
        <v>362</v>
      </c>
    </row>
    <row r="74" spans="1:11">
      <c r="A74" s="44">
        <v>70</v>
      </c>
      <c r="B74" s="40" t="s">
        <v>121</v>
      </c>
      <c r="C74" s="41">
        <f t="shared" ca="1" si="12"/>
        <v>26</v>
      </c>
      <c r="D74" s="36" t="s">
        <v>152</v>
      </c>
      <c r="E74" s="36">
        <f t="shared" ca="1" si="13"/>
        <v>29</v>
      </c>
      <c r="F74" s="36" t="s">
        <v>169</v>
      </c>
      <c r="G74" s="42">
        <f t="shared" ca="1" si="14"/>
        <v>3720250490967</v>
      </c>
      <c r="H74" s="43">
        <f t="shared" ca="1" si="15"/>
        <v>38329</v>
      </c>
      <c r="I74" s="36" t="s">
        <v>170</v>
      </c>
      <c r="J74" s="90">
        <f t="shared" ca="1" si="16"/>
        <v>3410</v>
      </c>
      <c r="K74" s="36">
        <f t="shared" ca="1" si="17"/>
        <v>334</v>
      </c>
    </row>
    <row r="75" spans="1:11">
      <c r="A75" s="44">
        <v>71</v>
      </c>
      <c r="B75" s="40" t="s">
        <v>122</v>
      </c>
      <c r="C75" s="41">
        <f t="shared" ca="1" si="12"/>
        <v>29</v>
      </c>
      <c r="D75" s="36" t="s">
        <v>152</v>
      </c>
      <c r="E75" s="36">
        <f t="shared" ca="1" si="13"/>
        <v>37</v>
      </c>
      <c r="F75" s="36" t="s">
        <v>156</v>
      </c>
      <c r="G75" s="42">
        <f t="shared" ca="1" si="14"/>
        <v>7526577105899</v>
      </c>
      <c r="H75" s="43">
        <f t="shared" ca="1" si="15"/>
        <v>39308</v>
      </c>
      <c r="I75" s="36" t="s">
        <v>170</v>
      </c>
      <c r="J75" s="90">
        <f t="shared" ca="1" si="16"/>
        <v>3540</v>
      </c>
      <c r="K75" s="36">
        <f t="shared" ca="1" si="17"/>
        <v>314</v>
      </c>
    </row>
    <row r="76" spans="1:11">
      <c r="A76" s="44">
        <v>72</v>
      </c>
      <c r="B76" s="40" t="s">
        <v>123</v>
      </c>
      <c r="C76" s="41">
        <f t="shared" ca="1" si="12"/>
        <v>25</v>
      </c>
      <c r="D76" s="36" t="s">
        <v>153</v>
      </c>
      <c r="E76" s="36">
        <f t="shared" ca="1" si="13"/>
        <v>29</v>
      </c>
      <c r="F76" s="36" t="s">
        <v>156</v>
      </c>
      <c r="G76" s="42">
        <f t="shared" ca="1" si="14"/>
        <v>2474368195345</v>
      </c>
      <c r="H76" s="43">
        <f t="shared" ca="1" si="15"/>
        <v>37120</v>
      </c>
      <c r="I76" s="36" t="s">
        <v>170</v>
      </c>
      <c r="J76" s="90">
        <f t="shared" ca="1" si="16"/>
        <v>3584</v>
      </c>
      <c r="K76" s="36">
        <f t="shared" ca="1" si="17"/>
        <v>259</v>
      </c>
    </row>
    <row r="77" spans="1:11">
      <c r="A77" s="44">
        <v>73</v>
      </c>
      <c r="B77" s="40" t="s">
        <v>124</v>
      </c>
      <c r="C77" s="41">
        <f t="shared" ca="1" si="12"/>
        <v>27</v>
      </c>
      <c r="D77" s="36" t="s">
        <v>152</v>
      </c>
      <c r="E77" s="36">
        <f t="shared" ca="1" si="13"/>
        <v>30</v>
      </c>
      <c r="F77" s="36" t="s">
        <v>156</v>
      </c>
      <c r="G77" s="42">
        <f t="shared" ca="1" si="14"/>
        <v>5386637777648</v>
      </c>
      <c r="H77" s="43">
        <f t="shared" ca="1" si="15"/>
        <v>42763</v>
      </c>
      <c r="I77" s="36" t="s">
        <v>170</v>
      </c>
      <c r="J77" s="90">
        <f t="shared" ca="1" si="16"/>
        <v>3030</v>
      </c>
      <c r="K77" s="36">
        <f t="shared" ca="1" si="17"/>
        <v>304</v>
      </c>
    </row>
    <row r="78" spans="1:11">
      <c r="A78" s="44">
        <v>74</v>
      </c>
      <c r="B78" s="40" t="s">
        <v>125</v>
      </c>
      <c r="C78" s="41">
        <f t="shared" ca="1" si="12"/>
        <v>25</v>
      </c>
      <c r="D78" s="36" t="s">
        <v>152</v>
      </c>
      <c r="E78" s="36">
        <f t="shared" ca="1" si="13"/>
        <v>34</v>
      </c>
      <c r="F78" s="36" t="s">
        <v>156</v>
      </c>
      <c r="G78" s="42">
        <f t="shared" ca="1" si="14"/>
        <v>4534456715425</v>
      </c>
      <c r="H78" s="43">
        <f t="shared" ca="1" si="15"/>
        <v>37787</v>
      </c>
      <c r="I78" s="36" t="s">
        <v>170</v>
      </c>
      <c r="J78" s="90">
        <f t="shared" ca="1" si="16"/>
        <v>3791</v>
      </c>
      <c r="K78" s="36">
        <f t="shared" ca="1" si="17"/>
        <v>372</v>
      </c>
    </row>
    <row r="79" spans="1:11">
      <c r="A79" s="44">
        <v>75</v>
      </c>
      <c r="B79" s="40" t="s">
        <v>126</v>
      </c>
      <c r="C79" s="41">
        <f t="shared" ca="1" si="12"/>
        <v>25</v>
      </c>
      <c r="D79" s="36" t="s">
        <v>152</v>
      </c>
      <c r="E79" s="36">
        <f t="shared" ca="1" si="13"/>
        <v>31</v>
      </c>
      <c r="F79" s="36" t="s">
        <v>156</v>
      </c>
      <c r="G79" s="42">
        <f t="shared" ca="1" si="14"/>
        <v>3162279611427</v>
      </c>
      <c r="H79" s="43">
        <f t="shared" ca="1" si="15"/>
        <v>39046</v>
      </c>
      <c r="I79" s="36" t="s">
        <v>170</v>
      </c>
      <c r="J79" s="90">
        <f t="shared" ca="1" si="16"/>
        <v>3483</v>
      </c>
      <c r="K79" s="36">
        <f t="shared" ca="1" si="17"/>
        <v>294</v>
      </c>
    </row>
    <row r="80" spans="1:11">
      <c r="A80" s="44">
        <v>76</v>
      </c>
      <c r="B80" s="40" t="s">
        <v>127</v>
      </c>
      <c r="C80" s="41">
        <f t="shared" ca="1" si="12"/>
        <v>29</v>
      </c>
      <c r="D80" s="36" t="s">
        <v>153</v>
      </c>
      <c r="E80" s="36">
        <f t="shared" ca="1" si="13"/>
        <v>33</v>
      </c>
      <c r="F80" s="36" t="s">
        <v>159</v>
      </c>
      <c r="G80" s="42">
        <f t="shared" ca="1" si="14"/>
        <v>8545606959058</v>
      </c>
      <c r="H80" s="43">
        <f t="shared" ca="1" si="15"/>
        <v>38533</v>
      </c>
      <c r="I80" s="36" t="s">
        <v>170</v>
      </c>
      <c r="J80" s="90">
        <f t="shared" ca="1" si="16"/>
        <v>3352</v>
      </c>
      <c r="K80" s="36">
        <f t="shared" ca="1" si="17"/>
        <v>215</v>
      </c>
    </row>
    <row r="81" spans="1:11">
      <c r="A81" s="44">
        <v>77</v>
      </c>
      <c r="B81" s="40" t="s">
        <v>128</v>
      </c>
      <c r="C81" s="41">
        <f t="shared" ca="1" si="12"/>
        <v>26</v>
      </c>
      <c r="D81" s="36" t="s">
        <v>152</v>
      </c>
      <c r="E81" s="36">
        <f t="shared" ca="1" si="13"/>
        <v>36</v>
      </c>
      <c r="F81" s="36" t="s">
        <v>169</v>
      </c>
      <c r="G81" s="42">
        <f t="shared" ca="1" si="14"/>
        <v>2617912059989</v>
      </c>
      <c r="H81" s="43">
        <f t="shared" ca="1" si="15"/>
        <v>39008</v>
      </c>
      <c r="I81" s="36" t="s">
        <v>170</v>
      </c>
      <c r="J81" s="90">
        <f t="shared" ca="1" si="16"/>
        <v>2753</v>
      </c>
      <c r="K81" s="36">
        <f t="shared" ca="1" si="17"/>
        <v>216</v>
      </c>
    </row>
    <row r="82" spans="1:11">
      <c r="A82" s="44">
        <v>78</v>
      </c>
      <c r="B82" s="40" t="s">
        <v>129</v>
      </c>
      <c r="C82" s="41">
        <f t="shared" ca="1" si="12"/>
        <v>28</v>
      </c>
      <c r="D82" s="36" t="s">
        <v>152</v>
      </c>
      <c r="E82" s="36">
        <f t="shared" ca="1" si="13"/>
        <v>34</v>
      </c>
      <c r="F82" s="36" t="s">
        <v>154</v>
      </c>
      <c r="G82" s="42">
        <f t="shared" ca="1" si="14"/>
        <v>7734191456049</v>
      </c>
      <c r="H82" s="43">
        <f t="shared" ca="1" si="15"/>
        <v>41944</v>
      </c>
      <c r="I82" s="36" t="s">
        <v>170</v>
      </c>
      <c r="J82" s="90">
        <f t="shared" ca="1" si="16"/>
        <v>2929</v>
      </c>
      <c r="K82" s="36">
        <f t="shared" ca="1" si="17"/>
        <v>361</v>
      </c>
    </row>
    <row r="83" spans="1:11">
      <c r="A83" s="44">
        <v>79</v>
      </c>
      <c r="B83" s="40" t="s">
        <v>130</v>
      </c>
      <c r="C83" s="41">
        <f t="shared" ca="1" si="12"/>
        <v>30</v>
      </c>
      <c r="D83" s="36" t="s">
        <v>153</v>
      </c>
      <c r="E83" s="36">
        <f t="shared" ca="1" si="13"/>
        <v>24</v>
      </c>
      <c r="F83" s="36" t="s">
        <v>169</v>
      </c>
      <c r="G83" s="42">
        <f t="shared" ca="1" si="14"/>
        <v>6166343807653</v>
      </c>
      <c r="H83" s="43">
        <f t="shared" ca="1" si="15"/>
        <v>40557</v>
      </c>
      <c r="I83" s="36" t="s">
        <v>170</v>
      </c>
      <c r="J83" s="90">
        <f t="shared" ca="1" si="16"/>
        <v>4026</v>
      </c>
      <c r="K83" s="36">
        <f t="shared" ca="1" si="17"/>
        <v>385</v>
      </c>
    </row>
    <row r="84" spans="1:11">
      <c r="A84" s="44">
        <v>80</v>
      </c>
      <c r="B84" s="40" t="s">
        <v>131</v>
      </c>
      <c r="C84" s="41">
        <f t="shared" ca="1" si="12"/>
        <v>30</v>
      </c>
      <c r="D84" s="36" t="s">
        <v>152</v>
      </c>
      <c r="E84" s="36">
        <f t="shared" ca="1" si="13"/>
        <v>21</v>
      </c>
      <c r="F84" s="36" t="s">
        <v>156</v>
      </c>
      <c r="G84" s="42">
        <f t="shared" ca="1" si="14"/>
        <v>8212595292985</v>
      </c>
      <c r="H84" s="43">
        <f t="shared" ca="1" si="15"/>
        <v>43286</v>
      </c>
      <c r="I84" s="36" t="s">
        <v>170</v>
      </c>
      <c r="J84" s="90">
        <f t="shared" ca="1" si="16"/>
        <v>4783</v>
      </c>
      <c r="K84" s="36">
        <f t="shared" ca="1" si="17"/>
        <v>232</v>
      </c>
    </row>
    <row r="85" spans="1:11">
      <c r="A85" s="44">
        <v>81</v>
      </c>
      <c r="B85" s="40" t="s">
        <v>132</v>
      </c>
      <c r="C85" s="41">
        <f t="shared" ca="1" si="12"/>
        <v>30</v>
      </c>
      <c r="D85" s="36" t="s">
        <v>153</v>
      </c>
      <c r="E85" s="36">
        <f t="shared" ca="1" si="13"/>
        <v>36</v>
      </c>
      <c r="F85" s="36" t="s">
        <v>156</v>
      </c>
      <c r="G85" s="42">
        <f t="shared" ca="1" si="14"/>
        <v>2990108332367</v>
      </c>
      <c r="H85" s="43">
        <f t="shared" ca="1" si="15"/>
        <v>38736</v>
      </c>
      <c r="I85" s="36" t="s">
        <v>170</v>
      </c>
      <c r="J85" s="90">
        <f t="shared" ca="1" si="16"/>
        <v>4259</v>
      </c>
      <c r="K85" s="36">
        <f t="shared" ca="1" si="17"/>
        <v>243</v>
      </c>
    </row>
    <row r="86" spans="1:11">
      <c r="A86" s="44">
        <v>82</v>
      </c>
      <c r="B86" s="40" t="s">
        <v>133</v>
      </c>
      <c r="C86" s="41">
        <f t="shared" ca="1" si="12"/>
        <v>30</v>
      </c>
      <c r="D86" s="36" t="s">
        <v>153</v>
      </c>
      <c r="E86" s="36">
        <f t="shared" ca="1" si="13"/>
        <v>25</v>
      </c>
      <c r="F86" s="36" t="s">
        <v>155</v>
      </c>
      <c r="G86" s="42">
        <f t="shared" ca="1" si="14"/>
        <v>6289955160784</v>
      </c>
      <c r="H86" s="43">
        <f t="shared" ca="1" si="15"/>
        <v>41347</v>
      </c>
      <c r="I86" s="36" t="s">
        <v>170</v>
      </c>
      <c r="J86" s="90">
        <f t="shared" ca="1" si="16"/>
        <v>4309</v>
      </c>
      <c r="K86" s="36">
        <f t="shared" ca="1" si="17"/>
        <v>293</v>
      </c>
    </row>
    <row r="87" spans="1:11">
      <c r="A87" s="44">
        <v>83</v>
      </c>
      <c r="B87" s="40" t="s">
        <v>134</v>
      </c>
      <c r="C87" s="41">
        <f t="shared" ca="1" si="12"/>
        <v>29</v>
      </c>
      <c r="D87" s="36" t="s">
        <v>153</v>
      </c>
      <c r="E87" s="36">
        <f t="shared" ca="1" si="13"/>
        <v>31</v>
      </c>
      <c r="F87" s="36" t="s">
        <v>169</v>
      </c>
      <c r="G87" s="42">
        <f t="shared" ca="1" si="14"/>
        <v>5868559670652</v>
      </c>
      <c r="H87" s="43">
        <f t="shared" ca="1" si="15"/>
        <v>37404</v>
      </c>
      <c r="I87" s="36" t="s">
        <v>170</v>
      </c>
      <c r="J87" s="90">
        <f t="shared" ca="1" si="16"/>
        <v>3100</v>
      </c>
      <c r="K87" s="36">
        <f t="shared" ca="1" si="17"/>
        <v>308</v>
      </c>
    </row>
    <row r="88" spans="1:11">
      <c r="A88" s="44">
        <v>84</v>
      </c>
      <c r="B88" s="40" t="s">
        <v>135</v>
      </c>
      <c r="C88" s="41">
        <f t="shared" ca="1" si="12"/>
        <v>27</v>
      </c>
      <c r="D88" s="36" t="s">
        <v>153</v>
      </c>
      <c r="E88" s="36">
        <f t="shared" ca="1" si="13"/>
        <v>33</v>
      </c>
      <c r="F88" s="36" t="s">
        <v>156</v>
      </c>
      <c r="G88" s="42">
        <f t="shared" ca="1" si="14"/>
        <v>3294547547421</v>
      </c>
      <c r="H88" s="43">
        <f t="shared" ca="1" si="15"/>
        <v>42775</v>
      </c>
      <c r="I88" s="36" t="s">
        <v>170</v>
      </c>
      <c r="J88" s="90">
        <f t="shared" ca="1" si="16"/>
        <v>4786</v>
      </c>
      <c r="K88" s="36">
        <f t="shared" ca="1" si="17"/>
        <v>372</v>
      </c>
    </row>
    <row r="89" spans="1:11">
      <c r="A89" s="44">
        <v>85</v>
      </c>
      <c r="B89" s="40" t="s">
        <v>136</v>
      </c>
      <c r="C89" s="41">
        <f t="shared" ca="1" si="12"/>
        <v>27</v>
      </c>
      <c r="D89" s="36" t="s">
        <v>153</v>
      </c>
      <c r="E89" s="36">
        <f t="shared" ca="1" si="13"/>
        <v>26</v>
      </c>
      <c r="F89" s="36" t="s">
        <v>155</v>
      </c>
      <c r="G89" s="42">
        <f t="shared" ca="1" si="14"/>
        <v>8693990264086</v>
      </c>
      <c r="H89" s="43">
        <f t="shared" ca="1" si="15"/>
        <v>41200</v>
      </c>
      <c r="I89" s="36" t="s">
        <v>170</v>
      </c>
      <c r="J89" s="90">
        <f t="shared" ca="1" si="16"/>
        <v>4302</v>
      </c>
      <c r="K89" s="36">
        <f t="shared" ca="1" si="17"/>
        <v>374</v>
      </c>
    </row>
    <row r="90" spans="1:11">
      <c r="A90" s="44">
        <v>86</v>
      </c>
      <c r="B90" s="40" t="s">
        <v>137</v>
      </c>
      <c r="C90" s="41">
        <f t="shared" ca="1" si="12"/>
        <v>27</v>
      </c>
      <c r="D90" s="36" t="s">
        <v>153</v>
      </c>
      <c r="E90" s="36">
        <f t="shared" ca="1" si="13"/>
        <v>41</v>
      </c>
      <c r="F90" s="36" t="s">
        <v>168</v>
      </c>
      <c r="G90" s="42">
        <f t="shared" ca="1" si="14"/>
        <v>5847565452817</v>
      </c>
      <c r="H90" s="43">
        <f t="shared" ca="1" si="15"/>
        <v>39558</v>
      </c>
      <c r="I90" s="36" t="s">
        <v>170</v>
      </c>
      <c r="J90" s="90">
        <f t="shared" ca="1" si="16"/>
        <v>3867</v>
      </c>
      <c r="K90" s="36">
        <f t="shared" ca="1" si="17"/>
        <v>375</v>
      </c>
    </row>
    <row r="91" spans="1:11">
      <c r="A91" s="44">
        <v>87</v>
      </c>
      <c r="B91" s="40" t="s">
        <v>138</v>
      </c>
      <c r="C91" s="41">
        <f t="shared" ca="1" si="12"/>
        <v>27</v>
      </c>
      <c r="D91" s="36" t="s">
        <v>152</v>
      </c>
      <c r="E91" s="36">
        <f t="shared" ca="1" si="13"/>
        <v>41</v>
      </c>
      <c r="F91" s="36" t="s">
        <v>169</v>
      </c>
      <c r="G91" s="42">
        <f t="shared" ca="1" si="14"/>
        <v>5452198318202</v>
      </c>
      <c r="H91" s="43">
        <f t="shared" ca="1" si="15"/>
        <v>39120</v>
      </c>
      <c r="I91" s="36" t="s">
        <v>170</v>
      </c>
      <c r="J91" s="90">
        <f t="shared" ca="1" si="16"/>
        <v>3479</v>
      </c>
      <c r="K91" s="36">
        <f t="shared" ca="1" si="17"/>
        <v>228</v>
      </c>
    </row>
    <row r="92" spans="1:11">
      <c r="A92" s="44">
        <v>88</v>
      </c>
      <c r="B92" s="40" t="s">
        <v>139</v>
      </c>
      <c r="C92" s="41">
        <f t="shared" ca="1" si="12"/>
        <v>27</v>
      </c>
      <c r="D92" s="36" t="s">
        <v>153</v>
      </c>
      <c r="E92" s="36">
        <f t="shared" ca="1" si="13"/>
        <v>39</v>
      </c>
      <c r="F92" s="36" t="s">
        <v>169</v>
      </c>
      <c r="G92" s="42">
        <f t="shared" ca="1" si="14"/>
        <v>6017409549045</v>
      </c>
      <c r="H92" s="43">
        <f t="shared" ca="1" si="15"/>
        <v>38505</v>
      </c>
      <c r="I92" s="36" t="s">
        <v>170</v>
      </c>
      <c r="J92" s="90">
        <f t="shared" ca="1" si="16"/>
        <v>3275</v>
      </c>
      <c r="K92" s="36">
        <f t="shared" ca="1" si="17"/>
        <v>208</v>
      </c>
    </row>
    <row r="93" spans="1:11">
      <c r="A93" s="44">
        <v>89</v>
      </c>
      <c r="B93" s="40" t="s">
        <v>140</v>
      </c>
      <c r="C93" s="41">
        <f t="shared" ca="1" si="12"/>
        <v>26</v>
      </c>
      <c r="D93" s="36" t="s">
        <v>152</v>
      </c>
      <c r="E93" s="36">
        <f t="shared" ca="1" si="13"/>
        <v>40</v>
      </c>
      <c r="F93" s="36" t="s">
        <v>169</v>
      </c>
      <c r="G93" s="42">
        <f t="shared" ca="1" si="14"/>
        <v>2708315344525</v>
      </c>
      <c r="H93" s="43">
        <f t="shared" ca="1" si="15"/>
        <v>37957</v>
      </c>
      <c r="I93" s="36" t="s">
        <v>170</v>
      </c>
      <c r="J93" s="90">
        <f t="shared" ca="1" si="16"/>
        <v>3557</v>
      </c>
      <c r="K93" s="36">
        <f t="shared" ca="1" si="17"/>
        <v>210</v>
      </c>
    </row>
    <row r="94" spans="1:11">
      <c r="A94" s="44">
        <v>90</v>
      </c>
      <c r="B94" s="40" t="s">
        <v>141</v>
      </c>
      <c r="C94" s="41">
        <f t="shared" ca="1" si="12"/>
        <v>29</v>
      </c>
      <c r="D94" s="36" t="s">
        <v>153</v>
      </c>
      <c r="E94" s="36">
        <f t="shared" ca="1" si="13"/>
        <v>36</v>
      </c>
      <c r="F94" s="36" t="s">
        <v>156</v>
      </c>
      <c r="G94" s="42">
        <f t="shared" ca="1" si="14"/>
        <v>8335607002509</v>
      </c>
      <c r="H94" s="43">
        <f t="shared" ca="1" si="15"/>
        <v>42552</v>
      </c>
      <c r="I94" s="36" t="s">
        <v>170</v>
      </c>
      <c r="J94" s="90">
        <f t="shared" ca="1" si="16"/>
        <v>3841</v>
      </c>
      <c r="K94" s="36">
        <f t="shared" ca="1" si="17"/>
        <v>239</v>
      </c>
    </row>
    <row r="95" spans="1:11">
      <c r="A95" s="44">
        <v>91</v>
      </c>
      <c r="B95" s="40" t="s">
        <v>142</v>
      </c>
      <c r="C95" s="41">
        <f t="shared" ca="1" si="12"/>
        <v>29</v>
      </c>
      <c r="D95" s="36" t="s">
        <v>152</v>
      </c>
      <c r="E95" s="36">
        <f t="shared" ca="1" si="13"/>
        <v>35</v>
      </c>
      <c r="F95" s="36" t="s">
        <v>169</v>
      </c>
      <c r="G95" s="42">
        <f t="shared" ca="1" si="14"/>
        <v>8754870151157</v>
      </c>
      <c r="H95" s="43">
        <f t="shared" ca="1" si="15"/>
        <v>40259</v>
      </c>
      <c r="I95" s="36" t="s">
        <v>170</v>
      </c>
      <c r="J95" s="90">
        <f t="shared" ca="1" si="16"/>
        <v>3870</v>
      </c>
      <c r="K95" s="36">
        <f t="shared" ca="1" si="17"/>
        <v>350</v>
      </c>
    </row>
    <row r="96" spans="1:11">
      <c r="A96" s="44">
        <v>92</v>
      </c>
      <c r="B96" s="40" t="s">
        <v>143</v>
      </c>
      <c r="C96" s="41">
        <f t="shared" ca="1" si="12"/>
        <v>30</v>
      </c>
      <c r="D96" s="36" t="s">
        <v>152</v>
      </c>
      <c r="E96" s="36">
        <f t="shared" ca="1" si="13"/>
        <v>28</v>
      </c>
      <c r="F96" s="36" t="s">
        <v>154</v>
      </c>
      <c r="G96" s="42">
        <f t="shared" ca="1" si="14"/>
        <v>8649497099594</v>
      </c>
      <c r="H96" s="43">
        <f t="shared" ca="1" si="15"/>
        <v>39385</v>
      </c>
      <c r="I96" s="36" t="s">
        <v>170</v>
      </c>
      <c r="J96" s="90">
        <f t="shared" ca="1" si="16"/>
        <v>4542</v>
      </c>
      <c r="K96" s="36">
        <f t="shared" ca="1" si="17"/>
        <v>387</v>
      </c>
    </row>
    <row r="97" spans="1:11">
      <c r="A97" s="44">
        <v>93</v>
      </c>
      <c r="B97" s="40" t="s">
        <v>144</v>
      </c>
      <c r="C97" s="41">
        <f t="shared" ca="1" si="12"/>
        <v>30</v>
      </c>
      <c r="D97" s="36" t="s">
        <v>152</v>
      </c>
      <c r="E97" s="36">
        <f t="shared" ca="1" si="13"/>
        <v>39</v>
      </c>
      <c r="F97" s="36" t="s">
        <v>169</v>
      </c>
      <c r="G97" s="42">
        <f t="shared" ca="1" si="14"/>
        <v>3497030698784</v>
      </c>
      <c r="H97" s="43">
        <f t="shared" ca="1" si="15"/>
        <v>38104</v>
      </c>
      <c r="I97" s="36" t="s">
        <v>170</v>
      </c>
      <c r="J97" s="90">
        <f t="shared" ca="1" si="16"/>
        <v>4396</v>
      </c>
      <c r="K97" s="36">
        <f t="shared" ca="1" si="17"/>
        <v>303</v>
      </c>
    </row>
    <row r="98" spans="1:11">
      <c r="A98" s="44">
        <v>94</v>
      </c>
      <c r="B98" s="40" t="s">
        <v>145</v>
      </c>
      <c r="C98" s="41">
        <f t="shared" ca="1" si="12"/>
        <v>27</v>
      </c>
      <c r="D98" s="36" t="s">
        <v>152</v>
      </c>
      <c r="E98" s="36">
        <f t="shared" ca="1" si="13"/>
        <v>27</v>
      </c>
      <c r="F98" s="36" t="s">
        <v>169</v>
      </c>
      <c r="G98" s="42">
        <f t="shared" ca="1" si="14"/>
        <v>2180808721108</v>
      </c>
      <c r="H98" s="43">
        <f t="shared" ca="1" si="15"/>
        <v>41019</v>
      </c>
      <c r="I98" s="36" t="s">
        <v>170</v>
      </c>
      <c r="J98" s="90">
        <f t="shared" ca="1" si="16"/>
        <v>3645</v>
      </c>
      <c r="K98" s="36">
        <f t="shared" ca="1" si="17"/>
        <v>245</v>
      </c>
    </row>
    <row r="99" spans="1:11">
      <c r="A99" s="44">
        <v>95</v>
      </c>
      <c r="B99" s="40" t="s">
        <v>146</v>
      </c>
      <c r="C99" s="41">
        <f t="shared" ca="1" si="12"/>
        <v>27</v>
      </c>
      <c r="D99" s="36" t="s">
        <v>152</v>
      </c>
      <c r="E99" s="36">
        <f t="shared" ca="1" si="13"/>
        <v>18</v>
      </c>
      <c r="F99" s="36" t="s">
        <v>156</v>
      </c>
      <c r="G99" s="42">
        <f t="shared" ca="1" si="14"/>
        <v>8422297115437</v>
      </c>
      <c r="H99" s="43">
        <f t="shared" ca="1" si="15"/>
        <v>37032</v>
      </c>
      <c r="I99" s="36" t="s">
        <v>170</v>
      </c>
      <c r="J99" s="90">
        <f t="shared" ca="1" si="16"/>
        <v>4002</v>
      </c>
      <c r="K99" s="36">
        <f t="shared" ca="1" si="17"/>
        <v>249</v>
      </c>
    </row>
    <row r="100" spans="1:11">
      <c r="A100" s="44">
        <v>96</v>
      </c>
      <c r="B100" s="40" t="s">
        <v>147</v>
      </c>
      <c r="C100" s="41">
        <f t="shared" ca="1" si="12"/>
        <v>25</v>
      </c>
      <c r="D100" s="36" t="s">
        <v>152</v>
      </c>
      <c r="E100" s="36">
        <f t="shared" ca="1" si="13"/>
        <v>40</v>
      </c>
      <c r="F100" s="36" t="s">
        <v>157</v>
      </c>
      <c r="G100" s="42">
        <f t="shared" ca="1" si="14"/>
        <v>8879561950623</v>
      </c>
      <c r="H100" s="43">
        <f t="shared" ca="1" si="15"/>
        <v>39816</v>
      </c>
      <c r="I100" s="36" t="s">
        <v>170</v>
      </c>
      <c r="J100" s="90">
        <f t="shared" ca="1" si="16"/>
        <v>4821</v>
      </c>
      <c r="K100" s="36">
        <f t="shared" ca="1" si="17"/>
        <v>289</v>
      </c>
    </row>
    <row r="101" spans="1:11">
      <c r="A101" s="44">
        <v>97</v>
      </c>
      <c r="B101" s="40" t="s">
        <v>148</v>
      </c>
      <c r="C101" s="41">
        <f t="shared" ca="1" si="12"/>
        <v>27</v>
      </c>
      <c r="D101" s="36" t="s">
        <v>153</v>
      </c>
      <c r="E101" s="36">
        <f t="shared" ca="1" si="13"/>
        <v>29</v>
      </c>
      <c r="F101" s="36" t="s">
        <v>168</v>
      </c>
      <c r="G101" s="42">
        <f t="shared" ca="1" si="14"/>
        <v>6221892417635</v>
      </c>
      <c r="H101" s="43">
        <f t="shared" ca="1" si="15"/>
        <v>43118</v>
      </c>
      <c r="I101" s="36" t="s">
        <v>170</v>
      </c>
      <c r="J101" s="90">
        <f t="shared" ca="1" si="16"/>
        <v>3564</v>
      </c>
      <c r="K101" s="36">
        <f t="shared" ca="1" si="17"/>
        <v>265</v>
      </c>
    </row>
    <row r="102" spans="1:11">
      <c r="A102" s="44">
        <v>98</v>
      </c>
      <c r="B102" s="40" t="s">
        <v>149</v>
      </c>
      <c r="C102" s="41">
        <f t="shared" ca="1" si="12"/>
        <v>29</v>
      </c>
      <c r="D102" s="36" t="s">
        <v>153</v>
      </c>
      <c r="E102" s="36">
        <f t="shared" ca="1" si="13"/>
        <v>25</v>
      </c>
      <c r="F102" s="36" t="s">
        <v>156</v>
      </c>
      <c r="G102" s="42">
        <f t="shared" ca="1" si="14"/>
        <v>3875862883928</v>
      </c>
      <c r="H102" s="43">
        <f t="shared" ca="1" si="15"/>
        <v>41315</v>
      </c>
      <c r="I102" s="36" t="s">
        <v>170</v>
      </c>
      <c r="J102" s="90">
        <f t="shared" ca="1" si="16"/>
        <v>4412</v>
      </c>
      <c r="K102" s="36">
        <f t="shared" ca="1" si="17"/>
        <v>271</v>
      </c>
    </row>
    <row r="103" spans="1:11">
      <c r="A103" s="44">
        <v>99</v>
      </c>
      <c r="B103" s="40" t="s">
        <v>150</v>
      </c>
      <c r="C103" s="41">
        <f t="shared" ca="1" si="12"/>
        <v>25</v>
      </c>
      <c r="D103" s="36" t="s">
        <v>152</v>
      </c>
      <c r="E103" s="36">
        <f t="shared" ca="1" si="13"/>
        <v>23</v>
      </c>
      <c r="F103" s="36" t="s">
        <v>155</v>
      </c>
      <c r="G103" s="42">
        <f t="shared" ca="1" si="14"/>
        <v>4954050972914</v>
      </c>
      <c r="H103" s="43">
        <f t="shared" ca="1" si="15"/>
        <v>39970</v>
      </c>
      <c r="I103" s="36" t="s">
        <v>170</v>
      </c>
      <c r="J103" s="90">
        <f t="shared" ca="1" si="16"/>
        <v>4491</v>
      </c>
      <c r="K103" s="36">
        <f t="shared" ca="1" si="17"/>
        <v>244</v>
      </c>
    </row>
    <row r="104" spans="1:11">
      <c r="A104" s="44">
        <v>100</v>
      </c>
      <c r="B104" s="45" t="s">
        <v>151</v>
      </c>
      <c r="C104" s="46">
        <f t="shared" ca="1" si="12"/>
        <v>29</v>
      </c>
      <c r="D104" s="36" t="s">
        <v>152</v>
      </c>
      <c r="E104" s="36">
        <f t="shared" ca="1" si="13"/>
        <v>22</v>
      </c>
      <c r="F104" s="36" t="s">
        <v>167</v>
      </c>
      <c r="G104" s="42">
        <f t="shared" ca="1" si="14"/>
        <v>6431596721496</v>
      </c>
      <c r="H104" s="43">
        <f t="shared" ca="1" si="15"/>
        <v>39839</v>
      </c>
      <c r="I104" s="36" t="s">
        <v>170</v>
      </c>
      <c r="J104" s="90">
        <f t="shared" ca="1" si="16"/>
        <v>2868</v>
      </c>
      <c r="K104" s="36">
        <f t="shared" ca="1" si="17"/>
        <v>279</v>
      </c>
    </row>
  </sheetData>
  <mergeCells count="1">
    <mergeCell ref="A1:I2"/>
  </mergeCells>
  <dataValidations count="1">
    <dataValidation type="list" allowBlank="1" showInputMessage="1" showErrorMessage="1" sqref="A5:A104 B95">
      <formula1>$A$5:$A$104</formula1>
    </dataValidation>
  </dataValidation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opLeftCell="A4" workbookViewId="0">
      <selection activeCell="S17" sqref="S17"/>
    </sheetView>
  </sheetViews>
  <sheetFormatPr baseColWidth="10" defaultRowHeight="15"/>
  <cols>
    <col min="8" max="8" width="13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69" t="s">
        <v>45</v>
      </c>
      <c r="B2" s="69"/>
      <c r="C2" s="3"/>
      <c r="D2" s="3"/>
      <c r="E2" s="3"/>
      <c r="F2" s="73" t="s">
        <v>0</v>
      </c>
      <c r="G2" s="73"/>
      <c r="H2" s="73"/>
      <c r="I2" s="73"/>
      <c r="J2" s="73"/>
      <c r="K2" s="73"/>
      <c r="L2" s="73"/>
      <c r="M2" s="73"/>
      <c r="N2" s="73"/>
      <c r="O2" s="73"/>
      <c r="P2" s="73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3" t="s">
        <v>44</v>
      </c>
      <c r="G3" s="73"/>
      <c r="H3" s="73"/>
      <c r="I3" s="73"/>
      <c r="J3" s="73"/>
      <c r="K3" s="73"/>
      <c r="L3" s="73"/>
      <c r="M3" s="73"/>
      <c r="N3" s="73"/>
      <c r="O3" s="73"/>
      <c r="P3" s="73"/>
      <c r="Q3" s="3"/>
      <c r="R3" s="3"/>
      <c r="S3" s="3"/>
    </row>
    <row r="4" spans="1:19" ht="15.75">
      <c r="A4" s="3"/>
      <c r="B4" s="3"/>
      <c r="C4" s="3"/>
      <c r="D4" s="74" t="s">
        <v>2</v>
      </c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3"/>
    </row>
    <row r="5" spans="1:19">
      <c r="A5" s="3"/>
      <c r="B5" s="3"/>
      <c r="C5" s="3"/>
      <c r="D5" s="75" t="s">
        <v>3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6" t="s">
        <v>83</v>
      </c>
      <c r="B8" s="86"/>
      <c r="C8" s="86"/>
      <c r="D8" s="7"/>
      <c r="E8" s="6">
        <f ca="1">VLOOKUP(A17,Tabla1[#All],5,FALSE)</f>
        <v>18</v>
      </c>
      <c r="F8" s="8"/>
      <c r="G8" s="7"/>
      <c r="H8" s="6" t="str">
        <f>VLOOKUP(A17,Tabla1[#All],4,FALSE)</f>
        <v>M</v>
      </c>
      <c r="I8" s="7"/>
      <c r="J8" s="8"/>
      <c r="K8" s="85" t="s">
        <v>48</v>
      </c>
      <c r="L8" s="85"/>
      <c r="M8" s="85"/>
      <c r="N8" s="7"/>
      <c r="O8" s="8"/>
      <c r="P8" s="85" t="str">
        <f>VLOOKUP(A17,'DB Empleados'!A4:J104,6,FALSE)</f>
        <v>Agente de Ventas</v>
      </c>
      <c r="Q8" s="85"/>
      <c r="R8" s="85"/>
      <c r="S8" s="8"/>
    </row>
    <row r="9" spans="1:19">
      <c r="A9" s="81" t="s">
        <v>4</v>
      </c>
      <c r="B9" s="81"/>
      <c r="C9" s="81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6"/>
      <c r="B11" s="86"/>
      <c r="C11" s="86"/>
      <c r="D11" s="7"/>
      <c r="E11" s="8"/>
      <c r="F11" s="87">
        <f ca="1">VLOOKUP(A17,'DB Empleados'!A4:I104,7,FALSE)</f>
        <v>8422297115437</v>
      </c>
      <c r="G11" s="87"/>
      <c r="H11" s="87"/>
      <c r="I11" s="7"/>
      <c r="J11" s="8"/>
      <c r="K11" s="92">
        <f ca="1">VLOOKUP(A17,'DB Empleados'!A5:J104,8,FALSE)</f>
        <v>37032</v>
      </c>
      <c r="L11" s="92"/>
      <c r="M11" s="92"/>
      <c r="N11" s="7"/>
      <c r="O11" s="8"/>
      <c r="P11" s="85" t="s">
        <v>170</v>
      </c>
      <c r="Q11" s="85"/>
      <c r="R11" s="85"/>
      <c r="S11" s="7"/>
    </row>
    <row r="12" spans="1:19">
      <c r="A12" s="81" t="s">
        <v>9</v>
      </c>
      <c r="B12" s="81"/>
      <c r="C12" s="81"/>
      <c r="D12" s="16"/>
      <c r="E12" s="8"/>
      <c r="F12" s="81" t="s">
        <v>10</v>
      </c>
      <c r="G12" s="81"/>
      <c r="H12" s="81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6" t="s">
        <v>13</v>
      </c>
      <c r="B14" s="20" t="s">
        <v>14</v>
      </c>
      <c r="C14" s="16" t="s">
        <v>15</v>
      </c>
      <c r="D14" s="66" t="s">
        <v>16</v>
      </c>
      <c r="E14" s="82" t="s">
        <v>17</v>
      </c>
      <c r="F14" s="83"/>
      <c r="G14" s="84" t="s">
        <v>18</v>
      </c>
      <c r="H14" s="79"/>
      <c r="I14" s="79"/>
      <c r="J14" s="79"/>
      <c r="K14" s="76" t="s">
        <v>19</v>
      </c>
      <c r="L14" s="79" t="s">
        <v>20</v>
      </c>
      <c r="M14" s="79"/>
      <c r="N14" s="80"/>
      <c r="O14" s="66" t="s">
        <v>21</v>
      </c>
      <c r="P14" s="66" t="s">
        <v>22</v>
      </c>
      <c r="Q14" s="66" t="s">
        <v>23</v>
      </c>
      <c r="R14" s="70" t="s">
        <v>24</v>
      </c>
      <c r="S14" s="70" t="s">
        <v>25</v>
      </c>
    </row>
    <row r="15" spans="1:19">
      <c r="A15" s="67"/>
      <c r="B15" s="21" t="s">
        <v>26</v>
      </c>
      <c r="C15" s="22" t="s">
        <v>27</v>
      </c>
      <c r="D15" s="67"/>
      <c r="E15" s="70" t="s">
        <v>28</v>
      </c>
      <c r="F15" s="23" t="s">
        <v>29</v>
      </c>
      <c r="G15" s="70" t="s">
        <v>30</v>
      </c>
      <c r="H15" s="24" t="s">
        <v>31</v>
      </c>
      <c r="I15" s="24" t="s">
        <v>32</v>
      </c>
      <c r="J15" s="70" t="s">
        <v>33</v>
      </c>
      <c r="K15" s="77"/>
      <c r="L15" s="70" t="s">
        <v>34</v>
      </c>
      <c r="M15" s="24" t="s">
        <v>35</v>
      </c>
      <c r="N15" s="23" t="s">
        <v>36</v>
      </c>
      <c r="O15" s="67"/>
      <c r="P15" s="67"/>
      <c r="Q15" s="67"/>
      <c r="R15" s="71"/>
      <c r="S15" s="71"/>
    </row>
    <row r="16" spans="1:19">
      <c r="A16" s="68"/>
      <c r="B16" s="25" t="s">
        <v>37</v>
      </c>
      <c r="C16" s="26" t="s">
        <v>38</v>
      </c>
      <c r="D16" s="68"/>
      <c r="E16" s="72"/>
      <c r="F16" s="27" t="s">
        <v>39</v>
      </c>
      <c r="G16" s="72"/>
      <c r="H16" s="28" t="s">
        <v>40</v>
      </c>
      <c r="I16" s="29" t="s">
        <v>41</v>
      </c>
      <c r="J16" s="72"/>
      <c r="K16" s="78"/>
      <c r="L16" s="72"/>
      <c r="M16" s="28" t="s">
        <v>42</v>
      </c>
      <c r="N16" s="30" t="s">
        <v>43</v>
      </c>
      <c r="O16" s="68"/>
      <c r="P16" s="68"/>
      <c r="Q16" s="68"/>
      <c r="R16" s="72"/>
      <c r="S16" s="72"/>
    </row>
    <row r="17" spans="1:19">
      <c r="A17" s="31">
        <v>95</v>
      </c>
      <c r="B17" s="7" t="s">
        <v>186</v>
      </c>
      <c r="C17" s="91">
        <f ca="1">VLOOKUP(A17,Tabla1[#All],10,FALSE)</f>
        <v>4002</v>
      </c>
      <c r="D17" s="7">
        <f ca="1">VLOOKUP(A17,Tabla1[#All],3,FALSE)</f>
        <v>27</v>
      </c>
      <c r="E17" s="93">
        <f ca="1">(31*C17)</f>
        <v>124062</v>
      </c>
      <c r="F17" s="7">
        <f ca="1">(C17/D17)</f>
        <v>148.22222222222223</v>
      </c>
      <c r="G17" s="93">
        <f ca="1">(C17+D17+E17+F17)</f>
        <v>128239.22222222222</v>
      </c>
      <c r="H17" s="33"/>
      <c r="I17" s="33"/>
      <c r="J17" s="33"/>
      <c r="K17" s="93">
        <f ca="1">(C17+E17+F17+G17)</f>
        <v>256451.44444444444</v>
      </c>
      <c r="L17" s="93">
        <f ca="1">C17/4.83%</f>
        <v>82857.142857142855</v>
      </c>
      <c r="M17" s="7">
        <f ca="1">VLOOKUP('Libro Salarios'!A17,Tabla1[#All],11,FALSE)</f>
        <v>249</v>
      </c>
      <c r="N17" s="93">
        <f ca="1">(L17+M17)</f>
        <v>83106.142857142855</v>
      </c>
      <c r="O17" s="33"/>
      <c r="P17" s="93">
        <f ca="1">(C17+250)</f>
        <v>4252</v>
      </c>
      <c r="Q17" s="91">
        <f ca="1">(D17/K17)</f>
        <v>1.0528308802662665E-4</v>
      </c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94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'DB Empleados'!$A$5:$A$104</xm:f>
          </x14:formula1>
          <xm:sqref>A17</xm:sqref>
        </x14:dataValidation>
        <x14:dataValidation type="list" allowBlank="1" showInputMessage="1" showErrorMessage="1">
          <x14:formula1>
            <xm:f>'DB Empleados'!$B$5:$B$104</xm:f>
          </x14:formula1>
          <xm:sqref>A8:C8</xm:sqref>
        </x14:dataValidation>
        <x14:dataValidation type="list" allowBlank="1" showInputMessage="1" showErrorMessage="1">
          <x14:formula1>
            <xm:f>'DB Empleados'!$I$5:$I$104</xm:f>
          </x14:formula1>
          <xm:sqref>P11:R11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2019-05-31T16:27:52Z</dcterms:modified>
</cp:coreProperties>
</file>